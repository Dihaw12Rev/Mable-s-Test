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9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Decisions" sheetId="2" state="visible" r:id="rId4"/>
    <sheet name="Roadmap" sheetId="3" state="visible" r:id="rId5"/>
    <sheet name="Task Template" sheetId="4" state="visible" r:id="rId6"/>
    <sheet name="Progress Measures" sheetId="5" state="visible" r:id="rId7"/>
    <sheet name="Requests" sheetId="6" state="visible" r:id="rId8"/>
    <sheet name="After the Program" sheetId="7" state="visible" r:id="rId9"/>
    <sheet name="Intake Form" sheetId="8" state="visible" r:id="rId10"/>
    <sheet name="Tech Setup" sheetId="9" state="visible" r:id="rId11"/>
    <sheet name="Training" sheetId="10" state="visible" r:id="rId12"/>
    <sheet name="Comms" sheetId="11" state="visible" r:id="rId13"/>
    <sheet name="HubSpot Work Setup" sheetId="12" state="visible" r:id="rId14"/>
    <sheet name="Tool Fit" sheetId="13" state="visible" r:id="rId15"/>
  </sheets>
  <definedNames>
    <definedName function="false" hidden="true" localSheetId="6" name="_xlnm._FilterDatabase" vbProcedure="false">'After the Program'!$A$4:$C$8</definedName>
    <definedName function="false" hidden="true" localSheetId="10" name="_xlnm._FilterDatabase" vbProcedure="false">Comms!$A$4:$E$17</definedName>
    <definedName function="false" hidden="true" localSheetId="7" name="_xlnm._FilterDatabase" vbProcedure="false">'Intake Form'!$A$4:$G$31</definedName>
    <definedName function="false" hidden="true" localSheetId="4" name="_xlnm._FilterDatabase" vbProcedure="false">'Progress Measures'!$A$4:$F$10</definedName>
    <definedName function="false" hidden="true" localSheetId="3" name="_xlnm._FilterDatabase" vbProcedure="false">'Task Template'!$A$6:$L$80</definedName>
    <definedName function="false" hidden="true" localSheetId="8" name="_xlnm._FilterDatabase" vbProcedure="false">'Tech Setup'!$A$4:$F$48</definedName>
    <definedName function="false" hidden="true" localSheetId="9" name="_xlnm._FilterDatabase" vbProcedure="false">Training!$A$4:$F$13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<sst xmlns="http://schemas.openxmlformats.org/spreadsheetml/2006/main" count="1746" uniqueCount="1031">
  <si>
    <t xml:space="preserve">RevGravy · Marketing Hub Onboarding Process (v2)</t>
  </si>
  <si>
    <t xml:space="preserve">Built from the FigJam session and the answers from review. Day 0 = deal reaches 'Start Payment Received'. Programs run 60–90 days; the plan is laid out for 90.</t>
  </si>
  <si>
    <t xml:space="preserve">Tab</t>
  </si>
  <si>
    <t xml:space="preserve">What's in it</t>
  </si>
  <si>
    <t xml:space="preserve">Decisions</t>
  </si>
  <si>
    <t xml:space="preserve">Your answers, what each one changed, and the scope limits.</t>
  </si>
  <si>
    <t xml:space="preserve">Roadmap</t>
  </si>
  <si>
    <t xml:space="preserve">Phases on a week-by-week timeline, mapped to the FigJam stickies.</t>
  </si>
  <si>
    <t xml:space="preserve">Task Template</t>
  </si>
  <si>
    <t xml:space="preserve">Every task by section. Set Program length (60–90) at the top and the due days compress.</t>
  </si>
  <si>
    <t xml:space="preserve">Progress Measures</t>
  </si>
  <si>
    <t xml:space="preserve">The standard progress measures (Factories) every Marketing Hub program builds.</t>
  </si>
  <si>
    <t xml:space="preserve">Requests</t>
  </si>
  <si>
    <t xml:space="preserve">How $250 requests work and the urgency classes.</t>
  </si>
  <si>
    <t xml:space="preserve">After the Program</t>
  </si>
  <si>
    <t xml:space="preserve">6 months of free KPI monitoring and the paid offers.</t>
  </si>
  <si>
    <t xml:space="preserve">Intake Form</t>
  </si>
  <si>
    <t xml:space="preserve">What we ask the customer after the sale.</t>
  </si>
  <si>
    <t xml:space="preserve">Tech Setup</t>
  </si>
  <si>
    <t xml:space="preserve">Marketing Hub Pro &amp; Enterprise setup checklist; each item belongs to a task.</t>
  </si>
  <si>
    <t xml:space="preserve">Training</t>
  </si>
  <si>
    <t xml:space="preserve">Training modules by audience and timing.</t>
  </si>
  <si>
    <t xml:space="preserve">Comms</t>
  </si>
  <si>
    <t xml:space="preserve">Every customer touchpoint, including the weekly update outline.</t>
  </si>
  <si>
    <t xml:space="preserve">HubSpot Work Setup</t>
  </si>
  <si>
    <t xml:space="preserve">What to build in HubSpot Work: new-customer steps, task columns, board, views, requests, Customers table, agents.</t>
  </si>
  <si>
    <t xml:space="preserve">Tool Fit</t>
  </si>
  <si>
    <t xml:space="preserve">The Work vs Projects vs Tickets comparison (decision: HubSpot Work only).</t>
  </si>
  <si>
    <t xml:space="preserve">Role</t>
  </si>
  <si>
    <t xml:space="preserve">Responsibility</t>
  </si>
  <si>
    <t xml:space="preserve">Phil</t>
  </si>
  <si>
    <t xml:space="preserve">Strategy lead through the sale and the handoff. Picks the Architect based on capacity. Reviews next-phase options.</t>
  </si>
  <si>
    <t xml:space="preserve">Architect</t>
  </si>
  <si>
    <t xml:space="preserve">Takes over as strategy lead after the handoff. Owns delivery, weekly updates, office hours, MBRs and the 'what's next' call.</t>
  </si>
  <si>
    <t xml:space="preserve">Ops</t>
  </si>
  <si>
    <t xml:space="preserve">RevGravy operations. Owns the templates, Supered setup and the welcome emails.</t>
  </si>
  <si>
    <t xml:space="preserve">Client POC</t>
  </si>
  <si>
    <t xml:space="preserve">Main point of contact at the customer. Owns approvals, access and client to-dos.</t>
  </si>
  <si>
    <t xml:space="preserve">Legend</t>
  </si>
  <si>
    <t xml:space="preserve">Yellow cell</t>
  </si>
  <si>
    <t xml:space="preserve">Edit me: inputs and answers.</t>
  </si>
  <si>
    <t xml:space="preserve">■ bars</t>
  </si>
  <si>
    <t xml:space="preserve">Formulas on the Start/End day columns. Change the days and the bars move.</t>
  </si>
  <si>
    <t xml:space="preserve">Answers from the review and what each one changed. Open questions at the bottom: answer in yellow.</t>
  </si>
  <si>
    <t xml:space="preserve">#</t>
  </si>
  <si>
    <t xml:space="preserve">Topic</t>
  </si>
  <si>
    <t xml:space="preserve">Answer</t>
  </si>
  <si>
    <t xml:space="preserve">What changed</t>
  </si>
  <si>
    <t xml:space="preserve">Program length</t>
  </si>
  <si>
    <t xml:space="preserve">60 to 90 days.</t>
  </si>
  <si>
    <t xml:space="preserve">The plan is laid out for 90 days. Each customer project has a Program length; later due dates compress to fit 60 or 75 days.</t>
  </si>
  <si>
    <t xml:space="preserve">Hub tiers</t>
  </si>
  <si>
    <t xml:space="preserve">Marketing Hub Professional and Enterprise.</t>
  </si>
  <si>
    <t xml:space="preserve">Starter removed. Setup items are tagged 'Pro &amp; Ent' or 'Ent only'.</t>
  </si>
  <si>
    <t xml:space="preserve">Strategy lead</t>
  </si>
  <si>
    <t xml:space="preserve">Phil leads through the sale, then the Architect takes over.</t>
  </si>
  <si>
    <t xml:space="preserve">Architect owns MBRs, weekly updates, strategy and the 'what's next' call after the handoff. Phil reviews the next-phase options.</t>
  </si>
  <si>
    <t xml:space="preserve">Picking the Architect</t>
  </si>
  <si>
    <t xml:space="preserve">Phil decides, based on capacity.</t>
  </si>
  <si>
    <t xml:space="preserve">Capacity report in the Onboarding Portfolio (active customers per Architect).</t>
  </si>
  <si>
    <t xml:space="preserve">HubSpot Work beta</t>
  </si>
  <si>
    <t xml:space="preserve">Enrolled.</t>
  </si>
  <si>
    <t xml:space="preserve">Build in HubSpot Work now.</t>
  </si>
  <si>
    <t xml:space="preserve">Where onboarding lives</t>
  </si>
  <si>
    <t xml:space="preserve">Only in HubSpot Work.</t>
  </si>
  <si>
    <t xml:space="preserve">No Projects pipeline and no tickets for onboarding. Tasks, board and requests all live in Work.</t>
  </si>
  <si>
    <t xml:space="preserve">Client-facing place</t>
  </si>
  <si>
    <t xml:space="preserve">Supered.</t>
  </si>
  <si>
    <t xml:space="preserve">No HubSpot customer portal. Everything the customer sees is in Supered.</t>
  </si>
  <si>
    <t xml:space="preserve">Progress measures (Factories)</t>
  </si>
  <si>
    <t xml:space="preserve">Use the suggestion.</t>
  </si>
  <si>
    <t xml:space="preserve">Standard set added: 0.1, 1.1, 1.2, 1.3 for every customer; 1.0 and 2.1 when bought.</t>
  </si>
  <si>
    <t xml:space="preserve">$250 requests</t>
  </si>
  <si>
    <t xml:space="preserve">Per request. Urgency classes not defined yet.</t>
  </si>
  <si>
    <t xml:space="preserve">Recommended classes added: Critical, High, Standard, Not now.</t>
  </si>
  <si>
    <t xml:space="preserve">Migrations &amp; website work</t>
  </si>
  <si>
    <t xml:space="preserve">In scope.</t>
  </si>
  <si>
    <t xml:space="preserve">Migration and website tasks added to Foundations and Build &amp; launch, with suggested limits.</t>
  </si>
  <si>
    <t xml:space="preserve">Post-program offers</t>
  </si>
  <si>
    <t xml:space="preserve">Free for 6 months. Contents not defined yet.</t>
  </si>
  <si>
    <t xml:space="preserve">Suggested contents for the free KPI monitoring and the three paid offers.</t>
  </si>
  <si>
    <t xml:space="preserve">'What's next' call</t>
  </si>
  <si>
    <t xml:space="preserve">The Architect runs it.</t>
  </si>
  <si>
    <t xml:space="preserve">Tasks 8.02, 8.03 and 9.04 owned by the Architect; Phil reviews the options in 8.01.</t>
  </si>
  <si>
    <t xml:space="preserve">Suggestions from review</t>
  </si>
  <si>
    <t xml:space="preserve">Approved: urgency classes, 2-hour request size, migration and website limits, standard progress measures, $1,670/mo Monthly Plan for team support.</t>
  </si>
  <si>
    <t xml:space="preserve">Applied as written.</t>
  </si>
  <si>
    <t xml:space="preserve">Agents</t>
  </si>
  <si>
    <t xml:space="preserve">HubSpot Work can build agents.</t>
  </si>
  <si>
    <t xml:space="preserve">8 agents added. They only draft, fill dates or flag; none sends anything to a customer.</t>
  </si>
  <si>
    <t xml:space="preserve">HubSpot Work limits (found in the build)</t>
  </si>
  <si>
    <t xml:space="preserve">No custom project fields; no links between tables and projects.</t>
  </si>
  <si>
    <t xml:space="preserve">Customer details live on the Customers table, matched to the project by its exact name. Due date uses two helper columns that the Date Setter agent fills.</t>
  </si>
  <si>
    <t xml:space="preserve">Scope limits for migration and website work (suggested)</t>
  </si>
  <si>
    <t xml:space="preserve">Area</t>
  </si>
  <si>
    <t xml:space="preserve">Limit</t>
  </si>
  <si>
    <t xml:space="preserve">Migration</t>
  </si>
  <si>
    <t xml:space="preserve">One previous email/marketing tool (e.g. Mailchimp): lists with consent and unsubscribes, up to 5 email templates, and the automations that are active today.</t>
  </si>
  <si>
    <t xml:space="preserve">Website</t>
  </si>
  <si>
    <t xml:space="preserve">Connect the current website (tracking, forms, CTAs, chat, meetings), landing page and blog templates, up to 10 landing pages, blog import. A full website rebuild is a separate project.</t>
  </si>
  <si>
    <t xml:space="preserve">Still open</t>
  </si>
  <si>
    <t xml:space="preserve">Nothing open. Every question has been answered.</t>
  </si>
  <si>
    <t xml:space="preserve">90-day plan. Grey numbers above the weeks are each week's day range.</t>
  </si>
  <si>
    <t xml:space="preserve">Phase</t>
  </si>
  <si>
    <t xml:space="preserve">Name</t>
  </si>
  <si>
    <t xml:space="preserve">FigJam stage(s)</t>
  </si>
  <si>
    <t xml:space="preserve">Start day</t>
  </si>
  <si>
    <t xml:space="preserve">End day</t>
  </si>
  <si>
    <t xml:space="preserve">Goal</t>
  </si>
  <si>
    <t xml:space="preserve">What the client sees</t>
  </si>
  <si>
    <t xml:space="preserve">Done when</t>
  </si>
  <si>
    <t xml:space="preserve">Pre</t>
  </si>
  <si>
    <t xml:space="preserve">W0</t>
  </si>
  <si>
    <t xml:space="preserve">W1</t>
  </si>
  <si>
    <t xml:space="preserve">W2</t>
  </si>
  <si>
    <t xml:space="preserve">W3</t>
  </si>
  <si>
    <t xml:space="preserve">W4</t>
  </si>
  <si>
    <t xml:space="preserve">W5</t>
  </si>
  <si>
    <t xml:space="preserve">W6</t>
  </si>
  <si>
    <t xml:space="preserve">W7</t>
  </si>
  <si>
    <t xml:space="preserve">W8</t>
  </si>
  <si>
    <t xml:space="preserve">W9</t>
  </si>
  <si>
    <t xml:space="preserve">W10</t>
  </si>
  <si>
    <t xml:space="preserve">W11</t>
  </si>
  <si>
    <t xml:space="preserve">W12</t>
  </si>
  <si>
    <t xml:space="preserve">After</t>
  </si>
  <si>
    <t xml:space="preserve">P0</t>
  </si>
  <si>
    <t xml:space="preserve">Handoff checklist</t>
  </si>
  <si>
    <t xml:space="preserve">New Lead → VSL → Fit/Discovery → Assess Tech Stack → Video → Recommendation → Closing Call</t>
  </si>
  <si>
    <t xml:space="preserve">Everything the Architect needs is on the deal before the customer pays (Definition of Ready).</t>
  </si>
  <si>
    <t xml:space="preserve">VSL, recommendation video, proposal Q&amp;A, quote, agreement.</t>
  </si>
  <si>
    <t xml:space="preserve">Deal has FigJam link, From→To statement, products, progress measures, survey, POC and supporters, signed agreement.</t>
  </si>
  <si>
    <t xml:space="preserve">P1</t>
  </si>
  <si>
    <t xml:space="preserve">Close &amp; welcome</t>
  </si>
  <si>
    <t xml:space="preserve">Paid &amp; Agreement Signed</t>
  </si>
  <si>
    <t xml:space="preserve">The customer feels the handoff right away; the Architect is picked and briefed within 72 hours.</t>
  </si>
  <si>
    <t xml:space="preserve">Welcome email series with the Supered Action Plan (expectations, next steps, links, agreement, to-dos).</t>
  </si>
  <si>
    <t xml:space="preserve">Architect assigned, Phil↔Architect 1:1 done, customer project created, kickoff booked.</t>
  </si>
  <si>
    <t xml:space="preserve">P2</t>
  </si>
  <si>
    <t xml:space="preserve">Access &amp; intake</t>
  </si>
  <si>
    <t xml:space="preserve">HS Access / Form / Trello</t>
  </si>
  <si>
    <t xml:space="preserve">Every access and input we need arrives in week 1. No Trello.</t>
  </si>
  <si>
    <t xml:space="preserve">Supered announcement on how we deliver updates and documentation; one short intake form.</t>
  </si>
  <si>
    <t xml:space="preserve">Portal access granted, intake submitted, audit and baseline numbers captured.</t>
  </si>
  <si>
    <t xml:space="preserve">P3</t>
  </si>
  <si>
    <t xml:space="preserve">Kickoff</t>
  </si>
  <si>
    <t xml:space="preserve">Kickoff Session 15 min</t>
  </si>
  <si>
    <t xml:space="preserve">15 minutes that confirm the plan, close gaps and set the rhythm.</t>
  </si>
  <si>
    <t xml:space="preserve">Architect + team intro, confirmed plan, office hours and MBRs explained and booked.</t>
  </si>
  <si>
    <t xml:space="preserve">Plan confirmed, missing items owned, MBRs on calendars, recap sent within 24h.</t>
  </si>
  <si>
    <t xml:space="preserve">P4</t>
  </si>
  <si>
    <t xml:space="preserve">Foundations</t>
  </si>
  <si>
    <t xml:space="preserve">Delivery Template → technical setup</t>
  </si>
  <si>
    <t xml:space="preserve">Marketing Hub set up correctly: tracking, domains, email, data, migration, website connection, baseline dashboard.</t>
  </si>
  <si>
    <t xml:space="preserve">Supered video announcements as foundation items finish; weekly updates.</t>
  </si>
  <si>
    <t xml:space="preserve">Foundation QA passed, old data migrated, baseline dashboard live.</t>
  </si>
  <si>
    <t xml:space="preserve">P5</t>
  </si>
  <si>
    <t xml:space="preserve">Build &amp; launch</t>
  </si>
  <si>
    <t xml:space="preserve">Tactical outcomes / Factories (progress measures)</t>
  </si>
  <si>
    <t xml:space="preserve">Build each progress measure the customer bought and get it live.</t>
  </si>
  <si>
    <t xml:space="preserve">A Supered video per delivery, sign-off requests, numbers moving in weekly updates.</t>
  </si>
  <si>
    <t xml:space="preserve">Every progress measure is live, approved by the client and reporting.</t>
  </si>
  <si>
    <t xml:space="preserve">P6</t>
  </si>
  <si>
    <t xml:space="preserve">Training &amp; adoption</t>
  </si>
  <si>
    <t xml:space="preserve">Office Hours / Supered videos</t>
  </si>
  <si>
    <t xml:space="preserve">The customer's team can run what we built without us.</t>
  </si>
  <si>
    <t xml:space="preserve">Short Supered training videos, office-hours coaching, an admin handbook.</t>
  </si>
  <si>
    <t xml:space="preserve">Each audience finished its modules; adoption checks passed.</t>
  </si>
  <si>
    <t xml:space="preserve">P7</t>
  </si>
  <si>
    <t xml:space="preserve">Run cadence</t>
  </si>
  <si>
    <t xml:space="preserve">Office Hours + Weekly updates</t>
  </si>
  <si>
    <t xml:space="preserve">Same rhythm every week: office hours, Friday update, monthly business review, requests handled by urgency.</t>
  </si>
  <si>
    <t xml:space="preserve">Weekly update (work done → strategic issue, numbers, issues found), office hours, MBRs.</t>
  </si>
  <si>
    <t xml:space="preserve">Runs every week until the program ends.</t>
  </si>
  <si>
    <t xml:space="preserve">P8</t>
  </si>
  <si>
    <t xml:space="preserve">What's next</t>
  </si>
  <si>
    <t xml:space="preserve">30 Days Before We Finish, Explain What's Next</t>
  </si>
  <si>
    <t xml:space="preserve">The customer sees the long-term vision and picks the next phase before the program ends.</t>
  </si>
  <si>
    <t xml:space="preserve">'What's next' call with the Architect, A/B options, final results review.</t>
  </si>
  <si>
    <t xml:space="preserve">Next phase chosen (A, B or KPI monitoring only), results reviewed, project closed.</t>
  </si>
  <si>
    <t xml:space="preserve">P9</t>
  </si>
  <si>
    <t xml:space="preserve">After the program</t>
  </si>
  <si>
    <t xml:space="preserve">Post-1st Program Offers + Goal: keep relationship 6–12 months</t>
  </si>
  <si>
    <t xml:space="preserve">Keep the relationship for 6–12 more months, starting with 6 months of free KPI monitoring.</t>
  </si>
  <si>
    <t xml:space="preserve">Monthly KPI snapshot, check-ins at month 3 and 6, paid offers.</t>
  </si>
  <si>
    <t xml:space="preserve">Customer moved to a paid offer, or monitoring ends cleanly after 6 months.</t>
  </si>
  <si>
    <t xml:space="preserve">Grouped by section (phase). Set Program length in yellow; 'Due day (this program)' compresses.</t>
  </si>
  <si>
    <t xml:space="preserve">Program length (days)</t>
  </si>
  <si>
    <t xml:space="preserve">Plan laid out for</t>
  </si>
  <si>
    <t xml:space="preserve">Fixed until day</t>
  </si>
  <si>
    <t xml:space="preserve">ID</t>
  </si>
  <si>
    <t xml:space="preserve">Section</t>
  </si>
  <si>
    <t xml:space="preserve">Task</t>
  </si>
  <si>
    <t xml:space="preserve">Definition of done</t>
  </si>
  <si>
    <t xml:space="preserve">Owner</t>
  </si>
  <si>
    <t xml:space="preserve">Client-facing</t>
  </si>
  <si>
    <t xml:space="preserve">Due day (90-day plan)</t>
  </si>
  <si>
    <t xml:space="preserve">Due day (this program)</t>
  </si>
  <si>
    <t xml:space="preserve">Repeats</t>
  </si>
  <si>
    <t xml:space="preserve">Depends on</t>
  </si>
  <si>
    <t xml:space="preserve">Lives in</t>
  </si>
  <si>
    <t xml:space="preserve">0.01</t>
  </si>
  <si>
    <t xml:space="preserve">P0 · Handoff checklist</t>
  </si>
  <si>
    <t xml:space="preserve">Research brief from company URL</t>
  </si>
  <si>
    <t xml:space="preserve">Website URL on the deal; research brief attached as a note before the Fit call.</t>
  </si>
  <si>
    <t xml:space="preserve">No</t>
  </si>
  <si>
    <t xml:space="preserve">Deal note</t>
  </si>
  <si>
    <t xml:space="preserve">0.02</t>
  </si>
  <si>
    <t xml:space="preserve">FigJam canvas after Fit call</t>
  </si>
  <si>
    <t xml:space="preserve">Covers strategic motivation, tactical outcomes, progress measures and fee range. Link saved on the deal.</t>
  </si>
  <si>
    <t xml:space="preserve">Deal: Canvas / FigJam Link</t>
  </si>
  <si>
    <t xml:space="preserve">0.03</t>
  </si>
  <si>
    <t xml:space="preserve">From→To statement captured</t>
  </si>
  <si>
    <t xml:space="preserve">One sentence: from where they are today to where they want to be. Every weekly update ties back to it.</t>
  </si>
  <si>
    <t xml:space="preserve">Deal property</t>
  </si>
  <si>
    <t xml:space="preserve">0.04</t>
  </si>
  <si>
    <t xml:space="preserve">Tech stack &amp; team capacity survey</t>
  </si>
  <si>
    <t xml:space="preserve">Client gave HubSpot access and finished the survey: tools beyond HubSpot, internal processes and cadences, current KPIs.</t>
  </si>
  <si>
    <t xml:space="preserve">Yes</t>
  </si>
  <si>
    <t xml:space="preserve">Form → deal/company</t>
  </si>
  <si>
    <t xml:space="preserve">0.05</t>
  </si>
  <si>
    <t xml:space="preserve">Products and quote on the deal</t>
  </si>
  <si>
    <t xml:space="preserve">Pricing calculator used, line items added, quote created. Hub tier is Pro or Enterprise.</t>
  </si>
  <si>
    <t xml:space="preserve">Deal line items + quote</t>
  </si>
  <si>
    <t xml:space="preserve">0.06</t>
  </si>
  <si>
    <t xml:space="preserve">Progress measures picked</t>
  </si>
  <si>
    <t xml:space="preserve">Core set (0.1, 1.1, 1.2, 1.3) plus any optional ones bought (1.0, 2.1). Baselines noted if known.</t>
  </si>
  <si>
    <t xml:space="preserve">0.07</t>
  </si>
  <si>
    <t xml:space="preserve">POC and supporters identified</t>
  </si>
  <si>
    <t xml:space="preserve">Contacts on the deal with labels (POC, Supporter, Billing, Decision maker). POC gets the weekly email.</t>
  </si>
  <si>
    <t xml:space="preserve">Deal contacts</t>
  </si>
  <si>
    <t xml:space="preserve">0.08</t>
  </si>
  <si>
    <t xml:space="preserve">Agreement signed</t>
  </si>
  <si>
    <t xml:space="preserve">Includes AI terms, escalation path, how progress is measured, POC and supporters, strategic job → tactical outcomes → progress measures, and request handling ($250 per request, urgency classes).</t>
  </si>
  <si>
    <t xml:space="preserve">Quote / e-signature</t>
  </si>
  <si>
    <t xml:space="preserve">1.01</t>
  </si>
  <si>
    <t xml:space="preserve">P1 · Close &amp; welcome</t>
  </si>
  <si>
    <t xml:space="preserve">Pick the Architect</t>
  </si>
  <si>
    <t xml:space="preserve">Phil checks the Capacity report (active customers per Architect) and picks the Architect.</t>
  </si>
  <si>
    <t xml:space="preserve">Work: Capacity report</t>
  </si>
  <si>
    <t xml:space="preserve">1.02</t>
  </si>
  <si>
    <t xml:space="preserve">Create the customer project</t>
  </si>
  <si>
    <t xml:space="preserve">Duplicate the 'Marketing Hub Onboarding (Template)' project and name it exactly '&lt;Client&gt; · Marketing Hub Onboarding'. Add a Customers row with that exact name plus Company, Deal, Architect, Program length and Start date. Share the project with the Architect.</t>
  </si>
  <si>
    <t xml:space="preserve">Work: customer project + Customers row</t>
  </si>
  <si>
    <t xml:space="preserve">1.03</t>
  </si>
  <si>
    <t xml:space="preserve">Welcome email #1: welcome + Action Plan</t>
  </si>
  <si>
    <t xml:space="preserve">Sent from Phil on Day 0: Supered Action Plan link, kickoff booking link, first to-dos (grant HubSpot access, fill the intake form).</t>
  </si>
  <si>
    <t xml:space="preserve">HubSpot email (automated on deal stage)</t>
  </si>
  <si>
    <t xml:space="preserve">1.04</t>
  </si>
  <si>
    <t xml:space="preserve">Build the Supered Action Plan</t>
  </si>
  <si>
    <t xml:space="preserve">Duplicate the Marketing Hub Action Plan template; add the agreement, FigJam, client to-dos and access checklist.</t>
  </si>
  <si>
    <t xml:space="preserve">Supered</t>
  </si>
  <si>
    <t xml:space="preserve">1.05</t>
  </si>
  <si>
    <t xml:space="preserve">Phil ↔ Architect handoff (30 min)</t>
  </si>
  <si>
    <t xml:space="preserve">Walk through FigJam, customer context, products, the From→To goal, progress measures and KPIs, schedule. Architect checks the Handoff checklist section. Strategy lead moves to the Architect after this call.</t>
  </si>
  <si>
    <t xml:space="preserve">Meeting on the deal</t>
  </si>
  <si>
    <t xml:space="preserve">1.06</t>
  </si>
  <si>
    <t xml:space="preserve">Set up progress measures</t>
  </si>
  <si>
    <t xml:space="preserve">Add the customer's progress measures to the project (name '&lt;Client&gt; 1.1 Visitor to Lead' etc.) with baseline, target and schedule.</t>
  </si>
  <si>
    <t xml:space="preserve">Work: customer project</t>
  </si>
  <si>
    <t xml:space="preserve">1.07</t>
  </si>
  <si>
    <t xml:space="preserve">Office hours booking link</t>
  </si>
  <si>
    <t xml:space="preserve">Architect's HubSpot meetings link (office-hours type) added to the Supered plan.</t>
  </si>
  <si>
    <t xml:space="preserve">HubSpot Meetings + Supered</t>
  </si>
  <si>
    <t xml:space="preserve">1.08</t>
  </si>
  <si>
    <t xml:space="preserve">Welcome email #2: how we work</t>
  </si>
  <si>
    <t xml:space="preserve">Day 2: office hours, Friday updates, how to send a request and the urgency classes, escalation path, how we use AI.</t>
  </si>
  <si>
    <t xml:space="preserve">HubSpot email (automated)</t>
  </si>
  <si>
    <t xml:space="preserve">1.09</t>
  </si>
  <si>
    <t xml:space="preserve">Kickoff booked</t>
  </si>
  <si>
    <t xml:space="preserve">Client books the 15-minute kickoff from welcome email #1. Chase on Day 3 if not booked.</t>
  </si>
  <si>
    <t xml:space="preserve">HubSpot Meetings</t>
  </si>
  <si>
    <t xml:space="preserve">2.01</t>
  </si>
  <si>
    <t xml:space="preserve">P2 · Access &amp; intake</t>
  </si>
  <si>
    <t xml:space="preserve">HubSpot access granted</t>
  </si>
  <si>
    <t xml:space="preserve">Partner access or a Super Admin user for the Architect. Confirm Pro or Enterprise per hub.</t>
  </si>
  <si>
    <t xml:space="preserve">Supered to-do</t>
  </si>
  <si>
    <t xml:space="preserve">2.02</t>
  </si>
  <si>
    <t xml:space="preserve">Intake form submitted</t>
  </si>
  <si>
    <t xml:space="preserve">Short form with only what pre-sale didn't capture (Intake Form tab).</t>
  </si>
  <si>
    <t xml:space="preserve">Intake form</t>
  </si>
  <si>
    <t xml:space="preserve">2.03</t>
  </si>
  <si>
    <t xml:space="preserve">Access to connected systems</t>
  </si>
  <si>
    <t xml:space="preserve">DNS/IT contact, website CMS, GA4/GTM, ad accounts, social accounts, and the old email/marketing tool we migrate from.</t>
  </si>
  <si>
    <t xml:space="preserve">2.04</t>
  </si>
  <si>
    <t xml:space="preserve">Brand &amp; content assets shared</t>
  </si>
  <si>
    <t xml:space="preserve">Brand guide, logos, fonts, colors, email templates, key content, lists to import.</t>
  </si>
  <si>
    <t xml:space="preserve">Supered upload</t>
  </si>
  <si>
    <t xml:space="preserve">2.05</t>
  </si>
  <si>
    <t xml:space="preserve">Supered announcement to POC</t>
  </si>
  <si>
    <t xml:space="preserve">Short video: how Supered works (Bases, announcements, documentation) and where updates show up.</t>
  </si>
  <si>
    <t xml:space="preserve">2.06</t>
  </si>
  <si>
    <t xml:space="preserve">Portal audit</t>
  </si>
  <si>
    <t xml:space="preserve">Data health, email health, existing assets, tracking, workflows, properties, old tool inventory. 1-page summary for kickoff.</t>
  </si>
  <si>
    <t xml:space="preserve">Work: customer project (notes)</t>
  </si>
  <si>
    <t xml:space="preserve">2.07</t>
  </si>
  <si>
    <t xml:space="preserve">Baseline numbers</t>
  </si>
  <si>
    <t xml:space="preserve">Record the 'before' number for each progress measure.</t>
  </si>
  <si>
    <t xml:space="preserve">3.01</t>
  </si>
  <si>
    <t xml:space="preserve">P3 · Kickoff</t>
  </si>
  <si>
    <t xml:space="preserve">Kickoff agenda</t>
  </si>
  <si>
    <t xml:space="preserve">Plan summary, missing items, decisions needed. Drafted from intake + audit.</t>
  </si>
  <si>
    <t xml:space="preserve">2.02, 2.06</t>
  </si>
  <si>
    <t xml:space="preserve">3.02</t>
  </si>
  <si>
    <t xml:space="preserve">Kickoff session (15 min)</t>
  </si>
  <si>
    <t xml:space="preserve">Architect &amp; team intro; confirm the goal and plan; walk through missing items; explain office hours, Friday updates, MBRs and how to send requests.</t>
  </si>
  <si>
    <t xml:space="preserve">Meeting</t>
  </si>
  <si>
    <t xml:space="preserve">3.03</t>
  </si>
  <si>
    <t xml:space="preserve">Book MBRs and the 'what's next' call</t>
  </si>
  <si>
    <t xml:space="preserve">MBR #1 ≈ Day 30, MBR #2 ≈ Day 60, 'what's next' ≈ Day 60–65, final results review ≈ Day 85 (scaled to program length).</t>
  </si>
  <si>
    <t xml:space="preserve">Meetings</t>
  </si>
  <si>
    <t xml:space="preserve">3.04</t>
  </si>
  <si>
    <t xml:space="preserve">Kickoff recap within 24h</t>
  </si>
  <si>
    <t xml:space="preserve">Decisions, owners, dates, client to-dos. Supered plan updated.</t>
  </si>
  <si>
    <t xml:space="preserve">Email + Supered</t>
  </si>
  <si>
    <t xml:space="preserve">4.01</t>
  </si>
  <si>
    <t xml:space="preserve">P4 · Foundations</t>
  </si>
  <si>
    <t xml:space="preserve">Account, users &amp; security</t>
  </si>
  <si>
    <t xml:space="preserve">Users, permission sets, 2FA; Enterprise extras where bought.</t>
  </si>
  <si>
    <t xml:space="preserve">Tech Setup tab</t>
  </si>
  <si>
    <t xml:space="preserve">4.02</t>
  </si>
  <si>
    <t xml:space="preserve">Tracking &amp; consent</t>
  </si>
  <si>
    <t xml:space="preserve">Tracking code on every domain, internal traffic excluded, cookie banner set.</t>
  </si>
  <si>
    <t xml:space="preserve">4.03</t>
  </si>
  <si>
    <t xml:space="preserve">Domains &amp; email authentication</t>
  </si>
  <si>
    <t xml:space="preserve">Content domain connected; sending domain authenticated (SPF, DKIM, DMARC) with the client's DNS contact.</t>
  </si>
  <si>
    <t xml:space="preserve">4.04</t>
  </si>
  <si>
    <t xml:space="preserve">Email foundations</t>
  </si>
  <si>
    <t xml:space="preserve">Subscription types, footer and address, brand kit, email templates, default sender.</t>
  </si>
  <si>
    <t xml:space="preserve">4.05</t>
  </si>
  <si>
    <t xml:space="preserve">Data model</t>
  </si>
  <si>
    <t xml:space="preserve">Property audit, lifecycle stage definitions, lead status, marketing-contact rules.</t>
  </si>
  <si>
    <t xml:space="preserve">4.06</t>
  </si>
  <si>
    <t xml:space="preserve">Migration plan &amp; export</t>
  </si>
  <si>
    <t xml:space="preserve">Inventory and export from the old tool: lists, consent, unsubscribes and bounces, templates, active automations.</t>
  </si>
  <si>
    <t xml:space="preserve">4.07</t>
  </si>
  <si>
    <t xml:space="preserve">Data import &amp; cleanup</t>
  </si>
  <si>
    <t xml:space="preserve">Import contacts/companies (including migrated lists with consent mapped and unsubscribes suppressed), dedupe, associations, marketing contacts.</t>
  </si>
  <si>
    <t xml:space="preserve">4.05, 4.06</t>
  </si>
  <si>
    <t xml:space="preserve">4.08</t>
  </si>
  <si>
    <t xml:space="preserve">Website connection</t>
  </si>
  <si>
    <t xml:space="preserve">HubSpot forms, CTAs, chat and meetings on the current website; landing page and blog templates.</t>
  </si>
  <si>
    <t xml:space="preserve">4.09</t>
  </si>
  <si>
    <t xml:space="preserve">Integrations</t>
  </si>
  <si>
    <t xml:space="preserve">GA4, ad accounts, social, webinar tool, Slack, CRM sync if their CRM isn't HubSpot.</t>
  </si>
  <si>
    <t xml:space="preserve">4.10</t>
  </si>
  <si>
    <t xml:space="preserve">Baseline dashboard</t>
  </si>
  <si>
    <t xml:space="preserve">One report per progress measure, showing baseline vs now. Used in every weekly update.</t>
  </si>
  <si>
    <t xml:space="preserve">HubSpot dashboard</t>
  </si>
  <si>
    <t xml:space="preserve">4.11</t>
  </si>
  <si>
    <t xml:space="preserve">Foundation QA</t>
  </si>
  <si>
    <t xml:space="preserve">Test visit → form → contact → email → notification end to end; test email rendering and deliverability.</t>
  </si>
  <si>
    <t xml:space="preserve">4.02, 4.03, 4.04, 4.07</t>
  </si>
  <si>
    <t xml:space="preserve">4.12</t>
  </si>
  <si>
    <t xml:space="preserve">Supered video: foundations done</t>
  </si>
  <si>
    <t xml:space="preserve">What changed for the customer and why it matters.</t>
  </si>
  <si>
    <t xml:space="preserve">5.01</t>
  </si>
  <si>
    <t xml:space="preserve">P5 · Build &amp; launch</t>
  </si>
  <si>
    <t xml:space="preserve">Build 1.1 Visitor → Lead</t>
  </si>
  <si>
    <t xml:space="preserve">Forms, CTAs, landing and thank-you pages live on the right pages. Measure: visit-to-contact rate.</t>
  </si>
  <si>
    <t xml:space="preserve">4.08, 4.11</t>
  </si>
  <si>
    <t xml:space="preserve">Progress measure 1.1</t>
  </si>
  <si>
    <t xml:space="preserve">5.02</t>
  </si>
  <si>
    <t xml:space="preserve">Build 1.2 Lead → MQL</t>
  </si>
  <si>
    <t xml:space="preserve">Segments, nurture emails and workflows, lead scoring, lifecycle automation. Client approves copy. Measure: lead-to-MQL rate.</t>
  </si>
  <si>
    <t xml:space="preserve">5.01, 4.07</t>
  </si>
  <si>
    <t xml:space="preserve">Progress measure 1.2</t>
  </si>
  <si>
    <t xml:space="preserve">5.03</t>
  </si>
  <si>
    <t xml:space="preserve">Build 1.3 MQL → Meeting</t>
  </si>
  <si>
    <t xml:space="preserve">MQL definition agreed with sales, owner assignment, notifications, follow-up SLA, meetings link in nurture. Measure: MQL-to-meeting rate.</t>
  </si>
  <si>
    <t xml:space="preserve">Progress measure 1.3</t>
  </si>
  <si>
    <t xml:space="preserve">5.04</t>
  </si>
  <si>
    <t xml:space="preserve">Build 2.1 Subscriber → Engaged (if bought)</t>
  </si>
  <si>
    <t xml:space="preserve">Newsletter or content program, subscription preferences, re-engagement and sunset flows. Measure: email click rate, engaged contacts.</t>
  </si>
  <si>
    <t xml:space="preserve">Progress measure 2.1</t>
  </si>
  <si>
    <t xml:space="preserve">5.05</t>
  </si>
  <si>
    <t xml:space="preserve">Build 1.0 Stranger → Visitor (if bought)</t>
  </si>
  <si>
    <t xml:space="preserve">Campaigns and UTMs, ad audiences and conversion events, social publishing, SEO recommendations. Measure: sessions by source.</t>
  </si>
  <si>
    <t xml:space="preserve">Progress measure 1.0</t>
  </si>
  <si>
    <t xml:space="preserve">5.06</t>
  </si>
  <si>
    <t xml:space="preserve">Migration: rebuild and switch off old tool</t>
  </si>
  <si>
    <t xml:space="preserve">Rebuild templates and active automations from the old tool, send in parallel once, then switch the old tool off.</t>
  </si>
  <si>
    <t xml:space="preserve">4.06, 4.07</t>
  </si>
  <si>
    <t xml:space="preserve">5.07</t>
  </si>
  <si>
    <t xml:space="preserve">Website: landing pages &amp; blog</t>
  </si>
  <si>
    <t xml:space="preserve">Migrate landing pages and blog posts within the agreed limit; redirects set.</t>
  </si>
  <si>
    <t xml:space="preserve">5.08</t>
  </si>
  <si>
    <t xml:space="preserve">First campaign live</t>
  </si>
  <si>
    <t xml:space="preserve">Campaign with UTMs and assets, launched with the client.</t>
  </si>
  <si>
    <t xml:space="preserve">5.01, 5.02</t>
  </si>
  <si>
    <t xml:space="preserve">HubSpot campaigns</t>
  </si>
  <si>
    <t xml:space="preserve">5.09</t>
  </si>
  <si>
    <t xml:space="preserve">Performance reporting</t>
  </si>
  <si>
    <t xml:space="preserve">Marketing performance dashboard and funnel by progress measure; revenue attribution on Enterprise.</t>
  </si>
  <si>
    <t xml:space="preserve">5.10</t>
  </si>
  <si>
    <t xml:space="preserve">AI / Breeze setup</t>
  </si>
  <si>
    <t xml:space="preserve">Brand voice and content tools, only within the AI terms in the agreement.</t>
  </si>
  <si>
    <t xml:space="preserve">5.11</t>
  </si>
  <si>
    <t xml:space="preserve">Client sign-off per progress measure</t>
  </si>
  <si>
    <t xml:space="preserve">Client approves each build before it goes live.</t>
  </si>
  <si>
    <t xml:space="preserve">5.01–5.07</t>
  </si>
  <si>
    <t xml:space="preserve">Work: Status 'In review'</t>
  </si>
  <si>
    <t xml:space="preserve">5.12</t>
  </si>
  <si>
    <t xml:space="preserve">Supered video per delivery</t>
  </si>
  <si>
    <t xml:space="preserve">What was built, how to use it, why it matters.</t>
  </si>
  <si>
    <t xml:space="preserve">After each delivery</t>
  </si>
  <si>
    <t xml:space="preserve">6.01</t>
  </si>
  <si>
    <t xml:space="preserve">P6 · Training &amp; adoption</t>
  </si>
  <si>
    <t xml:space="preserve">Confirm training plan</t>
  </si>
  <si>
    <t xml:space="preserve">Who needs which modules (Training tab), from the intake.</t>
  </si>
  <si>
    <t xml:space="preserve">Training tab</t>
  </si>
  <si>
    <t xml:space="preserve">6.02</t>
  </si>
  <si>
    <t xml:space="preserve">Deliver training modules</t>
  </si>
  <si>
    <t xml:space="preserve">Supered videos + practice in office hours, timed to when each feature ships.</t>
  </si>
  <si>
    <t xml:space="preserve">Supered + office hours</t>
  </si>
  <si>
    <t xml:space="preserve">6.03</t>
  </si>
  <si>
    <t xml:space="preserve">Adoption check #1</t>
  </si>
  <si>
    <t xml:space="preserve">Logins, emails sent, workflows active, dashboards viewed. Flag low adoption in the weekly update.</t>
  </si>
  <si>
    <t xml:space="preserve">6.04</t>
  </si>
  <si>
    <t xml:space="preserve">Admin handbook (Supered Base)</t>
  </si>
  <si>
    <t xml:space="preserve">How the portal is set up: naming, properties, workflows, who owns what.</t>
  </si>
  <si>
    <t xml:space="preserve">Supered Base</t>
  </si>
  <si>
    <t xml:space="preserve">6.05</t>
  </si>
  <si>
    <t xml:space="preserve">Adoption check #2</t>
  </si>
  <si>
    <t xml:space="preserve">Same check before the final results review.</t>
  </si>
  <si>
    <t xml:space="preserve">7.01</t>
  </si>
  <si>
    <t xml:space="preserve">P7 · Run cadence</t>
  </si>
  <si>
    <t xml:space="preserve">Office hours</t>
  </si>
  <si>
    <t xml:space="preserve">Bookable slots for questions, coaching and training practice.</t>
  </si>
  <si>
    <t xml:space="preserve">Weekly</t>
  </si>
  <si>
    <t xml:space="preserve">7.02</t>
  </si>
  <si>
    <t xml:space="preserve">Weekly update</t>
  </si>
  <si>
    <t xml:space="preserve">Drafted with AI, reviewed and sent by the Architect: work done and the strategic issue it moves, numbers vs baseline, issues found outside scope, next week, client to-dos.</t>
  </si>
  <si>
    <t xml:space="preserve">Weekly (Friday)</t>
  </si>
  <si>
    <t xml:space="preserve">Email, logged on the deal</t>
  </si>
  <si>
    <t xml:space="preserve">7.03</t>
  </si>
  <si>
    <t xml:space="preserve">Handle requests by urgency</t>
  </si>
  <si>
    <t xml:space="preserve">Every request gets logged with an urgency class and handled in that time ($250 per request; see Request Classes).</t>
  </si>
  <si>
    <t xml:space="preserve">As they come in</t>
  </si>
  <si>
    <t xml:space="preserve">Work: Requests table</t>
  </si>
  <si>
    <t xml:space="preserve">7.04</t>
  </si>
  <si>
    <t xml:space="preserve">Log issues and 'not now' ideas</t>
  </si>
  <si>
    <t xml:space="preserve">Out-of-scope issues and client ideas go to the Requests table as 'Not now', to sell later.</t>
  </si>
  <si>
    <t xml:space="preserve">7.05</t>
  </si>
  <si>
    <t xml:space="preserve">Health check</t>
  </si>
  <si>
    <t xml:space="preserve">Set Health (On track / At risk / Off track) and blockers. Escalate per the escalation path.</t>
  </si>
  <si>
    <t xml:space="preserve">Work: Customers row (Health)</t>
  </si>
  <si>
    <t xml:space="preserve">7.06</t>
  </si>
  <si>
    <t xml:space="preserve">Monthly Business Review</t>
  </si>
  <si>
    <t xml:space="preserve">Progress vs baseline, numbers trend, issues and opportunities. Architect leads; Phil optional.</t>
  </si>
  <si>
    <t xml:space="preserve">Monthly</t>
  </si>
  <si>
    <t xml:space="preserve">7.07</t>
  </si>
  <si>
    <t xml:space="preserve">Internal delivery review</t>
  </si>
  <si>
    <t xml:space="preserve">Phil + Architects: at-risk customers, capacity, blockers.</t>
  </si>
  <si>
    <t xml:space="preserve">Work: Portfolio</t>
  </si>
  <si>
    <t xml:space="preserve">8.01</t>
  </si>
  <si>
    <t xml:space="preserve">P8 · What's next</t>
  </si>
  <si>
    <t xml:space="preserve">Prep next-phase options</t>
  </si>
  <si>
    <t xml:space="preserve">Results so far, issues found and 'not now' list → Option A and Option B. Phil reviews before the call.</t>
  </si>
  <si>
    <t xml:space="preserve">8.02</t>
  </si>
  <si>
    <t xml:space="preserve">Architect explains the long-term vision and the next phase as an A/B choice.</t>
  </si>
  <si>
    <t xml:space="preserve">8.03</t>
  </si>
  <si>
    <t xml:space="preserve">Next-phase proposal</t>
  </si>
  <si>
    <t xml:space="preserve">New deal in the Sales Pipeline for the chosen offer.</t>
  </si>
  <si>
    <t xml:space="preserve">Deal</t>
  </si>
  <si>
    <t xml:space="preserve">8.04</t>
  </si>
  <si>
    <t xml:space="preserve">Final results review</t>
  </si>
  <si>
    <t xml:space="preserve">Before vs after for every progress measure, what we built, what's still open.</t>
  </si>
  <si>
    <t xml:space="preserve">Meeting + dashboard</t>
  </si>
  <si>
    <t xml:space="preserve">8.05</t>
  </si>
  <si>
    <t xml:space="preserve">Close the program</t>
  </si>
  <si>
    <t xml:space="preserve">Supered plan archived, project marked Completed, feedback and testimonial asked for.</t>
  </si>
  <si>
    <t xml:space="preserve">Work + Supered</t>
  </si>
  <si>
    <t xml:space="preserve">9.01</t>
  </si>
  <si>
    <t xml:space="preserve">P9 · After the program</t>
  </si>
  <si>
    <t xml:space="preserve">Monthly KPI snapshot</t>
  </si>
  <si>
    <t xml:space="preserve">Progress-measure dashboard emailed with 3 short notes from the Architect.</t>
  </si>
  <si>
    <t xml:space="preserve">Monthly × 6</t>
  </si>
  <si>
    <t xml:space="preserve">Scheduled dashboard email</t>
  </si>
  <si>
    <t xml:space="preserve">9.02</t>
  </si>
  <si>
    <t xml:space="preserve">Portal health alerts</t>
  </si>
  <si>
    <t xml:space="preserve">Watch for deliverability drops, workflow errors, form submissions down 30%+. Tell the client when one fires.</t>
  </si>
  <si>
    <t xml:space="preserve">Ongoing</t>
  </si>
  <si>
    <t xml:space="preserve">HubSpot alerts</t>
  </si>
  <si>
    <t xml:space="preserve">9.03</t>
  </si>
  <si>
    <t xml:space="preserve">Check-in call: month 3</t>
  </si>
  <si>
    <t xml:space="preserve">30 minutes: numbers, what's working, what's next.</t>
  </si>
  <si>
    <t xml:space="preserve">9.04</t>
  </si>
  <si>
    <t xml:space="preserve">Paid offer conversation: month 5</t>
  </si>
  <si>
    <t xml:space="preserve">Present team support, internal capacity and one-initiative-a-month before monitoring ends.</t>
  </si>
  <si>
    <t xml:space="preserve">9.05</t>
  </si>
  <si>
    <t xml:space="preserve">Check-in call: month 6</t>
  </si>
  <si>
    <t xml:space="preserve">Final monitoring check-in; confirm the paid offer or close monitoring.</t>
  </si>
  <si>
    <t xml:space="preserve">Tasks by owner</t>
  </si>
  <si>
    <t xml:space="preserve"># tasks</t>
  </si>
  <si>
    <t xml:space="preserve">Total</t>
  </si>
  <si>
    <t xml:space="preserve">Name each one '&lt;Client&gt; 1.1 Visitor to Lead', like the existing Factory records.</t>
  </si>
  <si>
    <t xml:space="preserve">Progress measure</t>
  </si>
  <si>
    <t xml:space="preserve">When</t>
  </si>
  <si>
    <t xml:space="preserve">What it measures</t>
  </si>
  <si>
    <t xml:space="preserve">HubSpot report</t>
  </si>
  <si>
    <t xml:space="preserve">Built by tasks</t>
  </si>
  <si>
    <t xml:space="preserve">0.1</t>
  </si>
  <si>
    <t xml:space="preserve">Database → Marketable database</t>
  </si>
  <si>
    <t xml:space="preserve">Every customer</t>
  </si>
  <si>
    <t xml:space="preserve">% of contacts with lifecycle stage and original source set; marketable contacts; bounce rate under 2%.</t>
  </si>
  <si>
    <t xml:space="preserve">Contacts by lifecycle stage; email health</t>
  </si>
  <si>
    <t xml:space="preserve">4.05, 4.06, 4.07</t>
  </si>
  <si>
    <t xml:space="preserve">1.1</t>
  </si>
  <si>
    <t xml:space="preserve">Visitor → Lead</t>
  </si>
  <si>
    <t xml:space="preserve">Visit-to-contact conversion rate; new contacts from forms per month.</t>
  </si>
  <si>
    <t xml:space="preserve">Sessions vs new contacts by source</t>
  </si>
  <si>
    <t xml:space="preserve">5.01, 4.08</t>
  </si>
  <si>
    <t xml:space="preserve">1.2</t>
  </si>
  <si>
    <t xml:space="preserve">Lead → MQL</t>
  </si>
  <si>
    <t xml:space="preserve">Lead-to-MQL rate; MQLs per month.</t>
  </si>
  <si>
    <t xml:space="preserve">Lifecycle stage funnel</t>
  </si>
  <si>
    <t xml:space="preserve">1.3</t>
  </si>
  <si>
    <t xml:space="preserve">MQL → Meeting</t>
  </si>
  <si>
    <t xml:space="preserve">MQL-to-meeting rate; time to first sales touch.</t>
  </si>
  <si>
    <t xml:space="preserve">Funnel + meetings booked by source</t>
  </si>
  <si>
    <t xml:space="preserve">1.0</t>
  </si>
  <si>
    <t xml:space="preserve">Stranger → Visitor</t>
  </si>
  <si>
    <t xml:space="preserve">When ads, SEO or content is bought</t>
  </si>
  <si>
    <t xml:space="preserve">Sessions per month by source.</t>
  </si>
  <si>
    <t xml:space="preserve">Traffic analytics by source</t>
  </si>
  <si>
    <t xml:space="preserve">2.1</t>
  </si>
  <si>
    <t xml:space="preserve">Subscriber → Engaged</t>
  </si>
  <si>
    <t xml:space="preserve">When email programs are bought</t>
  </si>
  <si>
    <t xml:space="preserve">Email click rate; contacts engaged in the last 90 days.</t>
  </si>
  <si>
    <t xml:space="preserve">Email performance; engagement segment size</t>
  </si>
  <si>
    <t xml:space="preserve">$250 per request. Recommended rules and urgency classes.</t>
  </si>
  <si>
    <t xml:space="preserve">Rules</t>
  </si>
  <si>
    <t xml:space="preserve">1. One request = one deliverable that takes up to about 2 hours (one email, one form, one workflow change, one report).</t>
  </si>
  <si>
    <t xml:space="preserve">2. Bigger than that becomes a scoped quote, not a request.</t>
  </si>
  <si>
    <t xml:space="preserve">3. Anything in the customer's plan (Task Template) is never a request.</t>
  </si>
  <si>
    <t xml:space="preserve">Urgency</t>
  </si>
  <si>
    <t xml:space="preserve">What it is</t>
  </si>
  <si>
    <t xml:space="preserve">Response and turnaround</t>
  </si>
  <si>
    <t xml:space="preserve">Price</t>
  </si>
  <si>
    <t xml:space="preserve">Critical</t>
  </si>
  <si>
    <t xml:space="preserve">Something live is broken: forms not submitting, emails not sending, a workflow sending the wrong email, tracking down.</t>
  </si>
  <si>
    <t xml:space="preserve">Reply within 4 business hours; fixed within 1 business day.</t>
  </si>
  <si>
    <t xml:space="preserve">Free if it's in something we built; otherwise $250</t>
  </si>
  <si>
    <t xml:space="preserve">High</t>
  </si>
  <si>
    <t xml:space="preserve">Needed for a launch or deadline in the next 2 weeks.</t>
  </si>
  <si>
    <t xml:space="preserve">Started within 2 business days; done within 5.</t>
  </si>
  <si>
    <t xml:space="preserve">$250</t>
  </si>
  <si>
    <t xml:space="preserve">Standard</t>
  </si>
  <si>
    <t xml:space="preserve">A small new request with no hard deadline.</t>
  </si>
  <si>
    <t xml:space="preserve">Planned into next week; done within 10 business days.</t>
  </si>
  <si>
    <t xml:space="preserve">Not now</t>
  </si>
  <si>
    <t xml:space="preserve">An idea or a bigger project for later.</t>
  </si>
  <si>
    <t xml:space="preserve">Logged and reviewed at MBRs and the 'what's next' call.</t>
  </si>
  <si>
    <t xml:space="preserve">Quoted when scoped</t>
  </si>
  <si>
    <t xml:space="preserve">Starts the day the program ends. Prices in yellow are still to be decided.</t>
  </si>
  <si>
    <t xml:space="preserve">Offer</t>
  </si>
  <si>
    <t xml:space="preserve">What's included</t>
  </si>
  <si>
    <t xml:space="preserve">KPI monitoring (6 months)</t>
  </si>
  <si>
    <t xml:space="preserve">Free</t>
  </si>
  <si>
    <t xml:space="preserve">Monthly KPI snapshot with Architect notes; portal health alerts; check-in calls at month 3 and month 6; requests still available at $250 each.</t>
  </si>
  <si>
    <t xml:space="preserve">Team support</t>
  </si>
  <si>
    <t xml:space="preserve">$1,670/mo (existing 'Monthly Plan – Standard', 1 task at a time)</t>
  </si>
  <si>
    <t xml:space="preserve">Same Architect, ongoing requests one at a time, weekly office hours.</t>
  </si>
  <si>
    <t xml:space="preserve">Build internal capacity</t>
  </si>
  <si>
    <t xml:space="preserve">To be priced</t>
  </si>
  <si>
    <t xml:space="preserve">Coach their in-house marketer or admin: monthly training plan, admin office hours, HubSpot certification path, help hiring a marketing ops role.</t>
  </si>
  <si>
    <t xml:space="preserve">One initiative a month</t>
  </si>
  <si>
    <t xml:space="preserve">One scoped project per month from the 'not now' list (a new nurture, a campaign, a report pack, another tool migration).</t>
  </si>
  <si>
    <t xml:space="preserve">Post-sale intake. 'Captured pre-sale' items are pre-filled and only confirmed.</t>
  </si>
  <si>
    <t xml:space="preserve">Question</t>
  </si>
  <si>
    <t xml:space="preserve">Field type</t>
  </si>
  <si>
    <t xml:space="preserve">Required</t>
  </si>
  <si>
    <t xml:space="preserve">Captured pre-sale?</t>
  </si>
  <si>
    <t xml:space="preserve">Why we ask</t>
  </si>
  <si>
    <t xml:space="preserve">Saved in</t>
  </si>
  <si>
    <t xml:space="preserve">Contacts</t>
  </si>
  <si>
    <t xml:space="preserve">Main point of contact (name, email, role)</t>
  </si>
  <si>
    <t xml:space="preserve">Text</t>
  </si>
  <si>
    <t xml:space="preserve">Yes (confirm)</t>
  </si>
  <si>
    <t xml:space="preserve">One owner for approvals and to-dos.</t>
  </si>
  <si>
    <t xml:space="preserve">Deal contact: POC</t>
  </si>
  <si>
    <t xml:space="preserve">Supporters who should get updates or training</t>
  </si>
  <si>
    <t xml:space="preserve">Multi-line text</t>
  </si>
  <si>
    <t xml:space="preserve">Partly</t>
  </si>
  <si>
    <t xml:space="preserve">Training plan and weekly update recipients.</t>
  </si>
  <si>
    <t xml:space="preserve">Deal contacts: Supporter</t>
  </si>
  <si>
    <t xml:space="preserve">Who controls your DNS / IT?</t>
  </si>
  <si>
    <t xml:space="preserve">Email authentication and domain connection.</t>
  </si>
  <si>
    <t xml:space="preserve">Customer project</t>
  </si>
  <si>
    <t xml:space="preserve">Preferred channel for quick questions</t>
  </si>
  <si>
    <t xml:space="preserve">Dropdown: Email / Slack Connect / Teams</t>
  </si>
  <si>
    <t xml:space="preserve">How office-hours follow-ups happen.</t>
  </si>
  <si>
    <t xml:space="preserve">Time zone and best days for office hours</t>
  </si>
  <si>
    <t xml:space="preserve">Office hours slots.</t>
  </si>
  <si>
    <t xml:space="preserve">Goals</t>
  </si>
  <si>
    <t xml:space="preserve">In one sentence: from where to where? (pre-filled from the sale)</t>
  </si>
  <si>
    <t xml:space="preserve">The goal every update ties back to.</t>
  </si>
  <si>
    <t xml:space="preserve">Top 3 results you want by the end of the program</t>
  </si>
  <si>
    <t xml:space="preserve">Prioritizes the build.</t>
  </si>
  <si>
    <t xml:space="preserve">How do you report marketing results today, and to whom?</t>
  </si>
  <si>
    <t xml:space="preserve">Shapes dashboards and MBRs.</t>
  </si>
  <si>
    <t xml:space="preserve">Current numbers: monthly sessions, leads, MQLs, meetings, customers</t>
  </si>
  <si>
    <t xml:space="preserve">Number fields</t>
  </si>
  <si>
    <t xml:space="preserve">Baselines for progress measures.</t>
  </si>
  <si>
    <t xml:space="preserve">Progress measures</t>
  </si>
  <si>
    <t xml:space="preserve">Audience</t>
  </si>
  <si>
    <t xml:space="preserve">Who are your buyers? (personas / segments)</t>
  </si>
  <si>
    <t xml:space="preserve">Segments and nurture.</t>
  </si>
  <si>
    <t xml:space="preserve">How do you define a marketing-qualified lead today?</t>
  </si>
  <si>
    <t xml:space="preserve">Progress measures 1.2 and 1.3.</t>
  </si>
  <si>
    <t xml:space="preserve">Marketing today</t>
  </si>
  <si>
    <t xml:space="preserve">Channels you use</t>
  </si>
  <si>
    <t xml:space="preserve">Checkboxes: SEO, Paid search, Paid social, Organic social, Email, Events/Webinars, Partners, Outbound</t>
  </si>
  <si>
    <t xml:space="preserve">Integrations and optional progress measures.</t>
  </si>
  <si>
    <t xml:space="preserve">Campaigns or launches planned in the next 90 days</t>
  </si>
  <si>
    <t xml:space="preserve">Pick the first campaign.</t>
  </si>
  <si>
    <t xml:space="preserve">Who on your team will run HubSpot, and hours per week</t>
  </si>
  <si>
    <t xml:space="preserve">Training scope and a realistic timeline.</t>
  </si>
  <si>
    <t xml:space="preserve">Other agencies or freelancers involved</t>
  </si>
  <si>
    <t xml:space="preserve">Avoid overlap.</t>
  </si>
  <si>
    <t xml:space="preserve">Approvals</t>
  </si>
  <si>
    <t xml:space="preserve">Who approves emails/pages before they go live, and how fast?</t>
  </si>
  <si>
    <t xml:space="preserve">Sign-off turnaround in the plan.</t>
  </si>
  <si>
    <t xml:space="preserve">Tech</t>
  </si>
  <si>
    <t xml:space="preserve">Marketing Hub tier</t>
  </si>
  <si>
    <t xml:space="preserve">Dropdown: Professional / Enterprise</t>
  </si>
  <si>
    <t xml:space="preserve">Which setup items apply.</t>
  </si>
  <si>
    <t xml:space="preserve">Website platform and who can edit it</t>
  </si>
  <si>
    <t xml:space="preserve">Dropdown + text</t>
  </si>
  <si>
    <t xml:space="preserve">Website connection.</t>
  </si>
  <si>
    <t xml:space="preserve">Email domain you send from</t>
  </si>
  <si>
    <t xml:space="preserve">Email authentication.</t>
  </si>
  <si>
    <t xml:space="preserve">Which email/marketing tool are you moving from, and what's active in it today?</t>
  </si>
  <si>
    <t xml:space="preserve">Text + multi-line text</t>
  </si>
  <si>
    <t xml:space="preserve">Migration plan.</t>
  </si>
  <si>
    <t xml:space="preserve">Where do your contacts live today and roughly how many?</t>
  </si>
  <si>
    <t xml:space="preserve">Text + number</t>
  </si>
  <si>
    <t xml:space="preserve">Import scope and marketing contacts.</t>
  </si>
  <si>
    <t xml:space="preserve">Landing pages and blog posts to bring over (links or count)</t>
  </si>
  <si>
    <t xml:space="preserve">Website scope within the limit.</t>
  </si>
  <si>
    <t xml:space="preserve">Other tools to connect (CRM, ads, webinar, chat, analytics)</t>
  </si>
  <si>
    <t xml:space="preserve">Integrations.</t>
  </si>
  <si>
    <t xml:space="preserve">Compliance</t>
  </si>
  <si>
    <t xml:space="preserve">Regions you market to and consent rules you follow</t>
  </si>
  <si>
    <t xml:space="preserve">Checkboxes: US, Canada (CASL), EU/UK (GDPR), Other</t>
  </si>
  <si>
    <t xml:space="preserve">Subscription types, consent, cookie banner.</t>
  </si>
  <si>
    <t xml:space="preserve">Industry regulations (e.g. HIPAA, financial)</t>
  </si>
  <si>
    <t xml:space="preserve">Data handling limits.</t>
  </si>
  <si>
    <t xml:space="preserve">Brand</t>
  </si>
  <si>
    <t xml:space="preserve">Upload brand guide, logos, fonts, email templates</t>
  </si>
  <si>
    <t xml:space="preserve">File upload</t>
  </si>
  <si>
    <t xml:space="preserve">Brand kit and templates.</t>
  </si>
  <si>
    <t xml:space="preserve">Access</t>
  </si>
  <si>
    <t xml:space="preserve">Checklist: HubSpot access, website admin, GA4/GTM, ad accounts, social accounts, old tool login</t>
  </si>
  <si>
    <t xml:space="preserve">Checkboxes</t>
  </si>
  <si>
    <t xml:space="preserve">One list so access isn't chased for weeks.</t>
  </si>
  <si>
    <t xml:space="preserve">Marketing Hub Professional and Enterprise. 'Ent only' items apply to Enterprise customers.</t>
  </si>
  <si>
    <t xml:space="preserve">Item</t>
  </si>
  <si>
    <t xml:space="preserve">Details</t>
  </si>
  <si>
    <t xml:space="preserve">Tier</t>
  </si>
  <si>
    <t xml:space="preserve">Task ID</t>
  </si>
  <si>
    <t xml:space="preserve">Account</t>
  </si>
  <si>
    <t xml:space="preserve">Users &amp; permission sets</t>
  </si>
  <si>
    <t xml:space="preserve">Invite client users, set permissions by role, teams if needed.</t>
  </si>
  <si>
    <t xml:space="preserve">Pro &amp; Ent</t>
  </si>
  <si>
    <t xml:space="preserve">Require 2FA</t>
  </si>
  <si>
    <t xml:space="preserve">For every user.</t>
  </si>
  <si>
    <t xml:space="preserve">Single sign-on (SSO)</t>
  </si>
  <si>
    <t xml:space="preserve">If the client uses an identity provider.</t>
  </si>
  <si>
    <t xml:space="preserve">Ent only</t>
  </si>
  <si>
    <t xml:space="preserve">Brands / business units</t>
  </si>
  <si>
    <t xml:space="preserve">If they market more than one brand.</t>
  </si>
  <si>
    <t xml:space="preserve">Sandbox account</t>
  </si>
  <si>
    <t xml:space="preserve">Test workflows and changes before production.</t>
  </si>
  <si>
    <t xml:space="preserve">Tracking</t>
  </si>
  <si>
    <t xml:space="preserve">Tracking code on every domain</t>
  </si>
  <si>
    <t xml:space="preserve">CMS plugin or GTM. Verify with a test visit.</t>
  </si>
  <si>
    <t xml:space="preserve">Exclude internal traffic</t>
  </si>
  <si>
    <t xml:space="preserve">Client and RevGravy IPs/domains.</t>
  </si>
  <si>
    <t xml:space="preserve">Cookie consent banner</t>
  </si>
  <si>
    <t xml:space="preserve">Per the regions in the intake.</t>
  </si>
  <si>
    <t xml:space="preserve">Domains</t>
  </si>
  <si>
    <t xml:space="preserve">Connect content domain</t>
  </si>
  <si>
    <t xml:space="preserve">Landing pages / blog subdomain (e.g. go.client.com).</t>
  </si>
  <si>
    <t xml:space="preserve">Email sending domain authentication</t>
  </si>
  <si>
    <t xml:space="preserve">SPF, DKIM, DMARC added by the client's DNS contact; verified in HubSpot.</t>
  </si>
  <si>
    <t xml:space="preserve">Architect + client IT</t>
  </si>
  <si>
    <t xml:space="preserve">Email</t>
  </si>
  <si>
    <t xml:space="preserve">Subscription types</t>
  </si>
  <si>
    <t xml:space="preserve">Per content type; mapped to consent rules.</t>
  </si>
  <si>
    <t xml:space="preserve">Footer, address, default sender</t>
  </si>
  <si>
    <t xml:space="preserve">Compliant footer, real sender name.</t>
  </si>
  <si>
    <t xml:space="preserve">Brand kit &amp; email templates</t>
  </si>
  <si>
    <t xml:space="preserve">Logo, colors, fonts; 2–3 reusable templates.</t>
  </si>
  <si>
    <t xml:space="preserve">Data</t>
  </si>
  <si>
    <t xml:space="preserve">Property audit</t>
  </si>
  <si>
    <t xml:space="preserve">Remove unused, add what the progress measures need. Naming convention documented.</t>
  </si>
  <si>
    <t xml:space="preserve">Lifecycle stages &amp; lead status</t>
  </si>
  <si>
    <t xml:space="preserve">Definitions agreed with the client; automation set.</t>
  </si>
  <si>
    <t xml:space="preserve">Marketing contact rules</t>
  </si>
  <si>
    <t xml:space="preserve">Who is a marketing contact; keeps billing under control.</t>
  </si>
  <si>
    <t xml:space="preserve">Custom behavioral events</t>
  </si>
  <si>
    <t xml:space="preserve">Track key product or site actions.</t>
  </si>
  <si>
    <t xml:space="preserve">Old tool inventory</t>
  </si>
  <si>
    <t xml:space="preserve">Lists, segments, templates, active automations, integrations.</t>
  </si>
  <si>
    <t xml:space="preserve">Export lists with consent</t>
  </si>
  <si>
    <t xml:space="preserve">Including unsubscribes and hard bounces to suppress.</t>
  </si>
  <si>
    <t xml:space="preserve">Import contacts &amp; companies</t>
  </si>
  <si>
    <t xml:space="preserve">Mapped import, consent mapped, unsubscribes suppressed, dedupe, associations.</t>
  </si>
  <si>
    <t xml:space="preserve">Data hygiene workflows</t>
  </si>
  <si>
    <t xml:space="preserve">Formatting, required fields, duplicates.</t>
  </si>
  <si>
    <t xml:space="preserve">HubSpot forms on the site</t>
  </si>
  <si>
    <t xml:space="preserve">Replace or collect existing site forms.</t>
  </si>
  <si>
    <t xml:space="preserve">CTAs, chat &amp; meetings on the site</t>
  </si>
  <si>
    <t xml:space="preserve">Placed on the pages that matter.</t>
  </si>
  <si>
    <t xml:space="preserve">Landing page &amp; blog templates</t>
  </si>
  <si>
    <t xml:space="preserve">Matching the brand kit.</t>
  </si>
  <si>
    <t xml:space="preserve">GA4</t>
  </si>
  <si>
    <t xml:space="preserve">Connected for reporting.</t>
  </si>
  <si>
    <t xml:space="preserve">Ad accounts</t>
  </si>
  <si>
    <t xml:space="preserve">Google, Meta, LinkedIn with conversion events.</t>
  </si>
  <si>
    <t xml:space="preserve">Social accounts</t>
  </si>
  <si>
    <t xml:space="preserve">Connected for publishing and reporting.</t>
  </si>
  <si>
    <t xml:space="preserve">Webinar, Slack, other apps</t>
  </si>
  <si>
    <t xml:space="preserve">As listed in the intake.</t>
  </si>
  <si>
    <t xml:space="preserve">CRM sync (if CRM isn't HubSpot)</t>
  </si>
  <si>
    <t xml:space="preserve">Field mapping, sync rules, lifecycle alignment.</t>
  </si>
  <si>
    <t xml:space="preserve">Reporting</t>
  </si>
  <si>
    <t xml:space="preserve">One report per progress measure; baseline vs now.</t>
  </si>
  <si>
    <t xml:space="preserve">QA</t>
  </si>
  <si>
    <t xml:space="preserve">End-to-end test</t>
  </si>
  <si>
    <t xml:space="preserve">Visit → form → contact → workflow → email → notification.</t>
  </si>
  <si>
    <t xml:space="preserve">Lead capture</t>
  </si>
  <si>
    <t xml:space="preserve">Forms, CTAs, landing &amp; thank-you pages</t>
  </si>
  <si>
    <t xml:space="preserve">Per offer.</t>
  </si>
  <si>
    <t xml:space="preserve">Segmentation</t>
  </si>
  <si>
    <t xml:space="preserve">Core segments</t>
  </si>
  <si>
    <t xml:space="preserve">Persona, lifecycle, engagement, customers, suppression.</t>
  </si>
  <si>
    <t xml:space="preserve">Automation</t>
  </si>
  <si>
    <t xml:space="preserve">Nurture workflows &amp; emails</t>
  </si>
  <si>
    <t xml:space="preserve">Per persona / offer.</t>
  </si>
  <si>
    <t xml:space="preserve">Lead scoring</t>
  </si>
  <si>
    <t xml:space="preserve">Fit + engagement score; MQL threshold.</t>
  </si>
  <si>
    <t xml:space="preserve">MQL handoff</t>
  </si>
  <si>
    <t xml:space="preserve">Assignment, notifications, follow-up SLA.</t>
  </si>
  <si>
    <t xml:space="preserve">Re-engagement &amp; sunset flows</t>
  </si>
  <si>
    <t xml:space="preserve">Keeps the list healthy.</t>
  </si>
  <si>
    <t xml:space="preserve">Campaigns</t>
  </si>
  <si>
    <t xml:space="preserve">Campaigns, UTMs &amp; ad audiences</t>
  </si>
  <si>
    <t xml:space="preserve">Campaign object, UTM conventions, retargeting audiences.</t>
  </si>
  <si>
    <t xml:space="preserve">Rebuild templates &amp; automations</t>
  </si>
  <si>
    <t xml:space="preserve">Up to 5 templates; automations active today.</t>
  </si>
  <si>
    <t xml:space="preserve">Parallel send, then switch off the old tool</t>
  </si>
  <si>
    <t xml:space="preserve">One parallel send to compare, then cancel the old tool.</t>
  </si>
  <si>
    <t xml:space="preserve">Architect + Client POC</t>
  </si>
  <si>
    <t xml:space="preserve">Migrate landing pages &amp; blog</t>
  </si>
  <si>
    <t xml:space="preserve">Up to 10 landing pages + blog import; redirects set.</t>
  </si>
  <si>
    <t xml:space="preserve">Marketing performance dashboard</t>
  </si>
  <si>
    <t xml:space="preserve">Traffic, leads, MQLs, emails, campaigns.</t>
  </si>
  <si>
    <t xml:space="preserve">Revenue attribution reports</t>
  </si>
  <si>
    <t xml:space="preserve">Multi-touch attribution.</t>
  </si>
  <si>
    <t xml:space="preserve">AI</t>
  </si>
  <si>
    <t xml:space="preserve">Breeze / AI settings</t>
  </si>
  <si>
    <t xml:space="preserve">Brand voice and content tools within the agreed AI terms.</t>
  </si>
  <si>
    <t xml:space="preserve">Each module is short and timed to when the feature ships.</t>
  </si>
  <si>
    <t xml:space="preserve">Module</t>
  </si>
  <si>
    <t xml:space="preserve">Content</t>
  </si>
  <si>
    <t xml:space="preserve">Format</t>
  </si>
  <si>
    <t xml:space="preserve">Length</t>
  </si>
  <si>
    <t xml:space="preserve">T1 · HubSpot basics</t>
  </si>
  <si>
    <t xml:space="preserve">All client users</t>
  </si>
  <si>
    <t xml:space="preserve">Navigation, records, notifications, where to find help.</t>
  </si>
  <si>
    <t xml:space="preserve">Supered tour + video</t>
  </si>
  <si>
    <t xml:space="preserve">After access (≈ Day 7)</t>
  </si>
  <si>
    <t xml:space="preserve">10 min</t>
  </si>
  <si>
    <t xml:space="preserve">T2 · Contacts &amp; segments</t>
  </si>
  <si>
    <t xml:space="preserve">Marketing team</t>
  </si>
  <si>
    <t xml:space="preserve">Contact records, properties, segments, data hygiene habits.</t>
  </si>
  <si>
    <t xml:space="preserve">Video + office hours practice</t>
  </si>
  <si>
    <t xml:space="preserve">After data import (≈ Day 25)</t>
  </si>
  <si>
    <t xml:space="preserve">20 min</t>
  </si>
  <si>
    <t xml:space="preserve">T3 · Email marketing</t>
  </si>
  <si>
    <t xml:space="preserve">Build, test, send and analyze emails with your templates.</t>
  </si>
  <si>
    <t xml:space="preserve">Video + live build in office hours</t>
  </si>
  <si>
    <t xml:space="preserve">After email foundations (≈ Day 20)</t>
  </si>
  <si>
    <t xml:space="preserve">25 min</t>
  </si>
  <si>
    <t xml:space="preserve">T4 · Forms, landing pages &amp; CTAs</t>
  </si>
  <si>
    <t xml:space="preserve">Create and edit lead capture assets.</t>
  </si>
  <si>
    <t xml:space="preserve">Video</t>
  </si>
  <si>
    <t xml:space="preserve">After 1.1 ships (≈ Day 40)</t>
  </si>
  <si>
    <t xml:space="preserve">T5 · Workflows &amp; nurture</t>
  </si>
  <si>
    <t xml:space="preserve">HubSpot admin(s)</t>
  </si>
  <si>
    <t xml:space="preserve">Read, edit and safely clone workflows.</t>
  </si>
  <si>
    <t xml:space="preserve">Live session</t>
  </si>
  <si>
    <t xml:space="preserve">After 1.2 ships (≈ Day 55)</t>
  </si>
  <si>
    <t xml:space="preserve">30 min</t>
  </si>
  <si>
    <t xml:space="preserve">T6 · Campaigns, ads &amp; social</t>
  </si>
  <si>
    <t xml:space="preserve">Campaigns, UTMs, ads and social reporting.</t>
  </si>
  <si>
    <t xml:space="preserve">After first campaign (≈ Day 65)</t>
  </si>
  <si>
    <t xml:space="preserve">T7 · Reporting &amp; dashboards</t>
  </si>
  <si>
    <t xml:space="preserve">Marketing lead + leadership</t>
  </si>
  <si>
    <t xml:space="preserve">Read the progress-measure dashboard; build a report.</t>
  </si>
  <si>
    <t xml:space="preserve">Live at MBR #2</t>
  </si>
  <si>
    <t xml:space="preserve">≈ Day 60</t>
  </si>
  <si>
    <t xml:space="preserve">T8 · Lead handoff</t>
  </si>
  <si>
    <t xml:space="preserve">Marketing + sales</t>
  </si>
  <si>
    <t xml:space="preserve">MQL definition, notifications, follow-up SLA.</t>
  </si>
  <si>
    <t xml:space="preserve">After 1.3 ships (≈ Day 60)</t>
  </si>
  <si>
    <t xml:space="preserve">T9 · Admin handbook</t>
  </si>
  <si>
    <t xml:space="preserve">How your portal is built and how to maintain it.</t>
  </si>
  <si>
    <t xml:space="preserve">≈ Day 85</t>
  </si>
  <si>
    <t xml:space="preserve">Self-serve</t>
  </si>
  <si>
    <t xml:space="preserve">Every customer-facing touchpoint, in order.</t>
  </si>
  <si>
    <t xml:space="preserve">Touchpoint</t>
  </si>
  <si>
    <t xml:space="preserve">Timing</t>
  </si>
  <si>
    <t xml:space="preserve">Channel</t>
  </si>
  <si>
    <t xml:space="preserve">Welcome email #1</t>
  </si>
  <si>
    <t xml:space="preserve">Day 0</t>
  </si>
  <si>
    <t xml:space="preserve">Email from Phil</t>
  </si>
  <si>
    <t xml:space="preserve">Ops (automated)</t>
  </si>
  <si>
    <t xml:space="preserve">Welcome, Supered Action Plan link, kickoff booking link, first to-dos (access + intake).</t>
  </si>
  <si>
    <t xml:space="preserve">Welcome email #2</t>
  </si>
  <si>
    <t xml:space="preserve">Day 2</t>
  </si>
  <si>
    <t xml:space="preserve">How we work: office hours, weekly updates, requests and urgency classes ($250), escalation path, AI use.</t>
  </si>
  <si>
    <t xml:space="preserve">Access / intake reminders</t>
  </si>
  <si>
    <t xml:space="preserve">Day 3–5 if incomplete</t>
  </si>
  <si>
    <t xml:space="preserve">Friendly reminder listing the exact missing items.</t>
  </si>
  <si>
    <t xml:space="preserve">Supered announcement</t>
  </si>
  <si>
    <t xml:space="preserve">Day 2–3</t>
  </si>
  <si>
    <t xml:space="preserve">How Supered works: Bases, announcements, documentation.</t>
  </si>
  <si>
    <t xml:space="preserve">Kickoff (15 min)</t>
  </si>
  <si>
    <t xml:space="preserve">Day 5–10</t>
  </si>
  <si>
    <t xml:space="preserve">Video call</t>
  </si>
  <si>
    <t xml:space="preserve">Intros, plan, missing items, office hours, MBRs.</t>
  </si>
  <si>
    <t xml:space="preserve">Kickoff recap</t>
  </si>
  <si>
    <t xml:space="preserve">Within 24h of kickoff</t>
  </si>
  <si>
    <t xml:space="preserve">Decisions, owners, dates, client to-dos.</t>
  </si>
  <si>
    <t xml:space="preserve">Every Friday</t>
  </si>
  <si>
    <t xml:space="preserve">Architect (AI draft)</t>
  </si>
  <si>
    <t xml:space="preserve">1) Work done and the strategic issue it moves  2) Numbers vs baseline  3) Issues found outside scope  4) Next week  5) Your to-dos.</t>
  </si>
  <si>
    <t xml:space="preserve">Delivery announcement</t>
  </si>
  <si>
    <t xml:space="preserve">Each delivery</t>
  </si>
  <si>
    <t xml:space="preserve">Supered video</t>
  </si>
  <si>
    <t xml:space="preserve">Weekly slots</t>
  </si>
  <si>
    <t xml:space="preserve">Booking link</t>
  </si>
  <si>
    <t xml:space="preserve">Questions, coaching, training practice.</t>
  </si>
  <si>
    <t xml:space="preserve">MBR</t>
  </si>
  <si>
    <t xml:space="preserve">Monthly (≈ Day 30 and 60)</t>
  </si>
  <si>
    <t xml:space="preserve">Architect (Phil optional)</t>
  </si>
  <si>
    <t xml:space="preserve">Progress vs baseline, numbers trend, issues and opportunities.</t>
  </si>
  <si>
    <t xml:space="preserve">≈ 30 days before the end</t>
  </si>
  <si>
    <t xml:space="preserve">Long-term vision, A/B next phase.</t>
  </si>
  <si>
    <t xml:space="preserve">Last week of the program</t>
  </si>
  <si>
    <t xml:space="preserve">Before vs after, what we built, what's open.</t>
  </si>
  <si>
    <t xml:space="preserve">KPI snapshot</t>
  </si>
  <si>
    <t xml:space="preserve">Monthly for 6 months after</t>
  </si>
  <si>
    <t xml:space="preserve">Progress measures + 3 short notes.</t>
  </si>
  <si>
    <t xml:space="preserve">What the HubSpot Work prompt builds. Decision: onboarding lives only in HubSpot Work.</t>
  </si>
  <si>
    <t xml:space="preserve">Where each part lives</t>
  </si>
  <si>
    <t xml:space="preserve">Tool</t>
  </si>
  <si>
    <t xml:space="preserve">Job</t>
  </si>
  <si>
    <t xml:space="preserve">HubSpot Work</t>
  </si>
  <si>
    <t xml:space="preserve">The whole onboarding: a template project copied per customer (tasks by section, board, timeline, requests) and a Customers table where each customer's details live.</t>
  </si>
  <si>
    <t xml:space="preserve">Everything the customer sees: Action Plan, announcements, delivery and training videos, admin handbook.</t>
  </si>
  <si>
    <t xml:space="preserve">HubSpot CRM</t>
  </si>
  <si>
    <t xml:space="preserve">The deal-stage gate, the two welcome emails, meetings links and the dashboards that report progress measures.</t>
  </si>
  <si>
    <t xml:space="preserve">Not used for onboarding</t>
  </si>
  <si>
    <t xml:space="preserve">Projects object pipelines, tickets, HubSpot customer portal, Trello.</t>
  </si>
  <si>
    <t xml:space="preserve">Setting up a new customer (HubSpot Work has no custom project fields)</t>
  </si>
  <si>
    <t xml:space="preserve">Step</t>
  </si>
  <si>
    <t xml:space="preserve">What to do</t>
  </si>
  <si>
    <t xml:space="preserve">Duplicate 'Marketing Hub Onboarding (Template)' and name the copy exactly '&lt;Client&gt; · Marketing Hub Onboarding'.</t>
  </si>
  <si>
    <t xml:space="preserve">Add a row to Customers with Customer = that exact name, plus Company, Deal, Architect, Program length, Start date and the rest.</t>
  </si>
  <si>
    <t xml:space="preserve">The Date Setter agent fills Project Day 0 and Program length on every task in the copy, so Due dates calculate. Without the agent, bulk-edit those two columns on all rows.</t>
  </si>
  <si>
    <t xml:space="preserve">Share the copy with the Architect (workspaces are private by default).</t>
  </si>
  <si>
    <t xml:space="preserve">Template project 'Marketing Hub Onboarding (Template)': Tasks table columns</t>
  </si>
  <si>
    <t xml:space="preserve">Column</t>
  </si>
  <si>
    <t xml:space="preserve">Type</t>
  </si>
  <si>
    <t xml:space="preserve">Notes</t>
  </si>
  <si>
    <t xml:space="preserve">e.g. 4.03. First column, so 'Depends on' can be read</t>
  </si>
  <si>
    <t xml:space="preserve">Task name</t>
  </si>
  <si>
    <t xml:space="preserve">Status</t>
  </si>
  <si>
    <t xml:space="preserve">Dropdown</t>
  </si>
  <si>
    <t xml:space="preserve">Not started, In progress, Waiting on client, In review, Done, Won't do</t>
  </si>
  <si>
    <t xml:space="preserve">Owner role</t>
  </si>
  <si>
    <t xml:space="preserve">Phil, Architect, Ops, Client POC</t>
  </si>
  <si>
    <t xml:space="preserve">Assignee</t>
  </si>
  <si>
    <t xml:space="preserve">HubSpot user</t>
  </si>
  <si>
    <t xml:space="preserve">Person doing it</t>
  </si>
  <si>
    <t xml:space="preserve">Due date</t>
  </si>
  <si>
    <t xml:space="preserve">Formula</t>
  </si>
  <si>
    <t xml:space="preserve">Project Day 0 + Due day, compressed by Program length (see rule)</t>
  </si>
  <si>
    <t xml:space="preserve">Yes/No</t>
  </si>
  <si>
    <t xml:space="preserve">Does the customer see or do this?</t>
  </si>
  <si>
    <t xml:space="preserve">Weekly, Monthly, etc.</t>
  </si>
  <si>
    <t xml:space="preserve">Task IDs</t>
  </si>
  <si>
    <t xml:space="preserve">Long text</t>
  </si>
  <si>
    <t xml:space="preserve">What 'done' means</t>
  </si>
  <si>
    <t xml:space="preserve">Anything else</t>
  </si>
  <si>
    <t xml:space="preserve">Phase: P0 to P9 (hidden in Main table)</t>
  </si>
  <si>
    <t xml:space="preserve">Number</t>
  </si>
  <si>
    <t xml:space="preserve">Days after Day 0, 90-day plan (hidden)</t>
  </si>
  <si>
    <t xml:space="preserve">Due day</t>
  </si>
  <si>
    <t xml:space="preserve">Start date</t>
  </si>
  <si>
    <t xml:space="preserve">Date</t>
  </si>
  <si>
    <t xml:space="preserve">Optional, for the Timeline view (hidden)</t>
  </si>
  <si>
    <t xml:space="preserve">Project Day 0</t>
  </si>
  <si>
    <t xml:space="preserve">Helper for the formula: same date on every row, filled per customer (hidden)</t>
  </si>
  <si>
    <t xml:space="preserve">Helper for the formula: 60, 75 or 90 on every row, filled per customer (hidden)</t>
  </si>
  <si>
    <t xml:space="preserve">Board statuses</t>
  </si>
  <si>
    <t xml:space="preserve">Not started</t>
  </si>
  <si>
    <t xml:space="preserve">In progress</t>
  </si>
  <si>
    <t xml:space="preserve">Waiting on client</t>
  </si>
  <si>
    <t xml:space="preserve">In review</t>
  </si>
  <si>
    <t xml:space="preserve">Done</t>
  </si>
  <si>
    <t xml:space="preserve">Won't do</t>
  </si>
  <si>
    <t xml:space="preserve">Views</t>
  </si>
  <si>
    <t xml:space="preserve">View</t>
  </si>
  <si>
    <t xml:space="preserve">Setup</t>
  </si>
  <si>
    <t xml:space="preserve">Board</t>
  </si>
  <si>
    <t xml:space="preserve">Columns = Status. Cards show Task ID, Task, Assignee, Due date.</t>
  </si>
  <si>
    <t xml:space="preserve">By section</t>
  </si>
  <si>
    <t xml:space="preserve">List grouped by Section (P0 → P9), sorted by Task ID.</t>
  </si>
  <si>
    <t xml:space="preserve">Timeline</t>
  </si>
  <si>
    <t xml:space="preserve">Start date → Due date, grouped by Section.</t>
  </si>
  <si>
    <t xml:space="preserve">Calendar</t>
  </si>
  <si>
    <t xml:space="preserve">By Due date.</t>
  </si>
  <si>
    <t xml:space="preserve">My tasks</t>
  </si>
  <si>
    <t xml:space="preserve">Assignee = me, Status not Done / Won't do.</t>
  </si>
  <si>
    <t xml:space="preserve">Client to-dos</t>
  </si>
  <si>
    <t xml:space="preserve">Owner role = Client POC, Status not Done.</t>
  </si>
  <si>
    <t xml:space="preserve">This week</t>
  </si>
  <si>
    <t xml:space="preserve">Due date in the next 7 days, Status not Done.</t>
  </si>
  <si>
    <t xml:space="preserve">Overdue</t>
  </si>
  <si>
    <t xml:space="preserve">Due date before today, Status not Done / Won't do.</t>
  </si>
  <si>
    <t xml:space="preserve">Requests table (one per customer project)</t>
  </si>
  <si>
    <t xml:space="preserve">Request</t>
  </si>
  <si>
    <t xml:space="preserve">Dropdown: Critical, High, Standard, Not now</t>
  </si>
  <si>
    <t xml:space="preserve">Dropdown: Client request, Issue found, Client idea</t>
  </si>
  <si>
    <t xml:space="preserve">Dropdown: New, Quoted, In progress, Done, Parked</t>
  </si>
  <si>
    <t xml:space="preserve">Number (default 250)</t>
  </si>
  <si>
    <t xml:space="preserve">Logged on</t>
  </si>
  <si>
    <t xml:space="preserve">Portfolio project 'Onboarding Portfolio': Customers table, one row per customer</t>
  </si>
  <si>
    <t xml:space="preserve">Customer</t>
  </si>
  <si>
    <t xml:space="preserve">Text: the customer project's exact name, '&lt;Client&gt; · Marketing Hub Onboarding'</t>
  </si>
  <si>
    <t xml:space="preserve">Company</t>
  </si>
  <si>
    <t xml:space="preserve">CRM company</t>
  </si>
  <si>
    <t xml:space="preserve">CRM deal</t>
  </si>
  <si>
    <t xml:space="preserve">Number: 60, 75 or 90</t>
  </si>
  <si>
    <t xml:space="preserve">Date (Day 0)</t>
  </si>
  <si>
    <t xml:space="preserve">Target end date</t>
  </si>
  <si>
    <t xml:space="preserve">Dropdown: Professional, Enterprise</t>
  </si>
  <si>
    <t xml:space="preserve">Health</t>
  </si>
  <si>
    <t xml:space="preserve">Dropdown: On track, At risk, Off track</t>
  </si>
  <si>
    <t xml:space="preserve">Current section</t>
  </si>
  <si>
    <t xml:space="preserve">Dropdown: P0–P9, Completed</t>
  </si>
  <si>
    <t xml:space="preserve">Next MBR</t>
  </si>
  <si>
    <t xml:space="preserve">Next due task</t>
  </si>
  <si>
    <t xml:space="preserve">From→To goal</t>
  </si>
  <si>
    <t xml:space="preserve">FigJam link</t>
  </si>
  <si>
    <t xml:space="preserve">URL</t>
  </si>
  <si>
    <t xml:space="preserve">Supered Action Plan link</t>
  </si>
  <si>
    <t xml:space="preserve">Portfolio view</t>
  </si>
  <si>
    <t xml:space="preserve">Capacity</t>
  </si>
  <si>
    <t xml:space="preserve">Report: active customers per Architect (a report, since saved views can't count). Phil uses it to pick the Architect.</t>
  </si>
  <si>
    <t xml:space="preserve">Health board</t>
  </si>
  <si>
    <t xml:space="preserve">Columns = Health.</t>
  </si>
  <si>
    <t xml:space="preserve">Ending soon</t>
  </si>
  <si>
    <t xml:space="preserve">Target end date in the next 35 days (time for the 'what's next' call).</t>
  </si>
  <si>
    <t xml:space="preserve">Agents (draft, fill dates or flag only; none sends anything to a customer)</t>
  </si>
  <si>
    <t xml:space="preserve">Agent</t>
  </si>
  <si>
    <t xml:space="preserve">Trigger</t>
  </si>
  <si>
    <t xml:space="preserve">What it does</t>
  </si>
  <si>
    <t xml:space="preserve">Date Setter</t>
  </si>
  <si>
    <t xml:space="preserve">A Customers row's Start date, Program length or Architect is set or changed</t>
  </si>
  <si>
    <t xml:space="preserve">Find the project whose name matches the row's Customer value. In its Tasks table, set Project Day 0 = the row's Start date and Program length = the row's Program length on every task, so the Due date formula calculates. Assign every task with Owner role 'Architect' to the row's Architect. Set the row's Target end date = Start date + Program length.</t>
  </si>
  <si>
    <t xml:space="preserve">Handoff Brief</t>
  </si>
  <si>
    <t xml:space="preserve">A new row in Customers</t>
  </si>
  <si>
    <t xml:space="preserve">Read the linked deal's history, notes, meetings and emails. Write a one-page brief for the Architect: who the customer is, the From→To goal, what they bought, the progress measures, the people involved, risks and open questions. Save it in the matching customer project and notify the Architect.</t>
  </si>
  <si>
    <t xml:space="preserve">Weekly Update Drafter</t>
  </si>
  <si>
    <t xml:space="preserve">Every Thursday, for each Customers row whose Current section is P2 to P8</t>
  </si>
  <si>
    <t xml:space="preserve">In the matching project, draft the Friday update in five parts: 1) work done this week and the strategic issue it moves, 2) numbers vs baseline, 3) issues found outside scope, 4) next week, 5) client to-dos. Use tasks marked Done this week, tasks due next week, and Requests logged this week. Save the draft in the project and notify the Architect, who reviews and sends it.</t>
  </si>
  <si>
    <t xml:space="preserve">Delay Flagger</t>
  </si>
  <si>
    <t xml:space="preserve">Every weekday morning</t>
  </si>
  <si>
    <t xml:space="preserve">In each customer project, flag tasks past their Due date and tasks 'Waiting on client' for more than 3 days. If a project has 3 or more overdue tasks, set Health to At risk on its Customers row. Notify the Architect, and notify Phil when Health becomes At risk or Off track.</t>
  </si>
  <si>
    <t xml:space="preserve">Request Triage</t>
  </si>
  <si>
    <t xml:space="preserve">A new row in a customer project's Requests table</t>
  </si>
  <si>
    <t xml:space="preserve">Suggest the Urgency class and Price from the urgency rules, and set Due date from that class's turnaround. If it looks bigger than about 2 hours of work, mark it 'Quoted' and say why. Notify the Architect at once for Critical requests.</t>
  </si>
  <si>
    <t xml:space="preserve">Portfolio Sync</t>
  </si>
  <si>
    <t xml:space="preserve">Every day</t>
  </si>
  <si>
    <t xml:space="preserve">For each Customers row, look at the matching project and update Current section (earliest section with open tasks), Next MBR and Next due task.</t>
  </si>
  <si>
    <t xml:space="preserve">What's Next Prep</t>
  </si>
  <si>
    <t xml:space="preserve">35 days before a Customers row's Target end date</t>
  </si>
  <si>
    <t xml:space="preserve">Summarize results vs baseline, issues found and 'not now' requests into Option A and Option B for the next phase. Save it in the matching project, notify the Architect, and ask Phil to review before the call.</t>
  </si>
  <si>
    <t xml:space="preserve">KPI Snapshot Drafter</t>
  </si>
  <si>
    <t xml:space="preserve">Monthly for 6 months after a Customers row's Target end date</t>
  </si>
  <si>
    <t xml:space="preserve">Draft the monthly KPI snapshot notes (3 short notes on the progress measures) for the Architect to review and send with the dashboard email.</t>
  </si>
  <si>
    <t xml:space="preserve">Tool Fit: HubSpot Work vs Projects vs Tickets</t>
  </si>
  <si>
    <t xml:space="preserve">Decision: onboarding lives only in HubSpot Work. Scores kept as the record (0 = poor, 1 = workable, 2 = strong).</t>
  </si>
  <si>
    <t xml:space="preserve">Criterion</t>
  </si>
  <si>
    <t xml:space="preserve">Work</t>
  </si>
  <si>
    <t xml:space="preserve">Projects</t>
  </si>
  <si>
    <t xml:space="preserve">Projects object</t>
  </si>
  <si>
    <t xml:space="preserve">Tickets</t>
  </si>
  <si>
    <t xml:space="preserve">One record per customer program</t>
  </si>
  <si>
    <t xml:space="preserve">One project per customer, from a template</t>
  </si>
  <si>
    <t xml:space="preserve">Native CRM record</t>
  </si>
  <si>
    <t xml:space="preserve">Built for single requests</t>
  </si>
  <si>
    <t xml:space="preserve">Reusable task template</t>
  </si>
  <si>
    <t xml:space="preserve">Duplicate the template project</t>
  </si>
  <si>
    <t xml:space="preserve">Templates still maturing</t>
  </si>
  <si>
    <t xml:space="preserve">Workflow-created tasks only</t>
  </si>
  <si>
    <t xml:space="preserve">Board, timeline, due dates</t>
  </si>
  <si>
    <t xml:space="preserve">Board, timeline and calendar views</t>
  </si>
  <si>
    <t xml:space="preserve">Gantt, board, table, calendar</t>
  </si>
  <si>
    <t xml:space="preserve">Board only</t>
  </si>
  <si>
    <t xml:space="preserve">Sections per phase</t>
  </si>
  <si>
    <t xml:space="preserve">Tasks grouped by section</t>
  </si>
  <si>
    <t xml:space="preserve">Pipeline stages</t>
  </si>
  <si>
    <t xml:space="preserve">Client can see their plan</t>
  </si>
  <si>
    <t xml:space="preserve">Internal only (Supered covers this)</t>
  </si>
  <si>
    <t xml:space="preserve">Customer portal</t>
  </si>
  <si>
    <t xml:space="preserve">Request log with urgency</t>
  </si>
  <si>
    <t xml:space="preserve">Requests table in each project</t>
  </si>
  <si>
    <t xml:space="preserve">Not its job</t>
  </si>
  <si>
    <t xml:space="preserve">Ticket pipeline</t>
  </si>
  <si>
    <t xml:space="preserve">Maturity</t>
  </si>
  <si>
    <t xml:space="preserve">Public beta</t>
  </si>
  <si>
    <t xml:space="preserve">Generally available</t>
  </si>
  <si>
    <t xml:space="preserve">Total (max 14)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</si>
</sst>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A5F"/>
      <name val="Arial"/>
      <family val="0"/>
      <charset val="1"/>
    </font>
    <font>
      <i val="true"/>
      <sz val="10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A5F"/>
      <name val="Arial"/>
      <family val="0"/>
      <charset val="1"/>
    </font>
    <font>
      <sz val="8"/>
      <color rgb="FF999999"/>
      <name val="Arial"/>
      <family val="0"/>
      <charset val="1"/>
    </font>
    <font>
      <sz val="10"/>
      <color rgb="FF2E7D7A"/>
      <name val="Arial"/>
      <family val="0"/>
      <charset val="1"/>
    </font>
    <font>
      <b val="true"/>
      <sz val="1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FF4C2"/>
        <bgColor rgb="FFFFFF99"/>
      </patternFill>
    </fill>
    <fill>
      <patternFill patternType="solid">
        <fgColor rgb="FF2E7D7A"/>
        <bgColor rgb="FF008080"/>
      </patternFill>
    </fill>
    <fill>
      <patternFill patternType="solid">
        <fgColor rgb="FFEEF3F7"/>
        <bgColor rgb="FFDCEF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5DCE3"/>
      </left>
      <right style="thin">
        <color rgb="FFD5DCE3"/>
      </right>
      <top style="thin">
        <color rgb="FFD5DCE3"/>
      </top>
      <bottom style="thin">
        <color rgb="FFD5DCE3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>
          <bgColor rgb="FF2E7D7A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CEFEA"/>
          <bgColor rgb="FF000000"/>
        </patternFill>
      </fill>
    </dxf>
    <dxf>
      <fill>
        <patternFill patternType="solid">
          <fgColor rgb="FFFFF4C2"/>
          <bgColor rgb="FF000000"/>
        </patternFill>
      </fill>
    </dxf>
    <dxf>
      <fill>
        <patternFill patternType="solid">
          <fgColor rgb="FFEEF3F7"/>
          <bgColor rgb="FF000000"/>
        </patternFill>
      </fill>
    </dxf>
    <dxf>
      <fill>
        <patternFill>
          <bgColor rgb="FFDCEFEA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2"/>
      <rgbColor rgb="FFDCEFEA"/>
      <rgbColor rgb="FF660066"/>
      <rgbColor rgb="FFFF8080"/>
      <rgbColor rgb="FF0066CC"/>
      <rgbColor rgb="FFD5DCE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3F7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1F3A5F"/>
      <rgbColor rgb="FF2E7D7A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B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1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4" t="s">
        <v>5</v>
      </c>
    </row>
    <row r="6" customFormat="false" ht="15" hidden="false" customHeight="false" outlineLevel="0" collapsed="false">
      <c r="A6" s="4" t="s">
        <v>6</v>
      </c>
      <c r="B6" s="4" t="s">
        <v>7</v>
      </c>
    </row>
    <row r="7" customFormat="false" ht="15" hidden="false" customHeight="false" outlineLevel="0" collapsed="false">
      <c r="A7" s="4" t="s">
        <v>8</v>
      </c>
      <c r="B7" s="4" t="s">
        <v>9</v>
      </c>
    </row>
    <row r="8" customFormat="false" ht="15" hidden="false" customHeight="false" outlineLevel="0" collapsed="false">
      <c r="A8" s="4" t="s">
        <v>10</v>
      </c>
      <c r="B8" s="4" t="s">
        <v>11</v>
      </c>
    </row>
    <row r="9" customFormat="false" ht="15" hidden="false" customHeight="false" outlineLevel="0" collapsed="false">
      <c r="A9" s="4" t="s">
        <v>12</v>
      </c>
      <c r="B9" s="4" t="s">
        <v>13</v>
      </c>
    </row>
    <row r="10" customFormat="false" ht="15" hidden="false" customHeight="false" outlineLevel="0" collapsed="false">
      <c r="A10" s="4" t="s">
        <v>14</v>
      </c>
      <c r="B10" s="4" t="s">
        <v>15</v>
      </c>
    </row>
    <row r="11" customFormat="false" ht="15" hidden="false" customHeight="false" outlineLevel="0" collapsed="false">
      <c r="A11" s="4" t="s">
        <v>16</v>
      </c>
      <c r="B11" s="4" t="s">
        <v>17</v>
      </c>
    </row>
    <row r="12" customFormat="false" ht="15" hidden="false" customHeight="false" outlineLevel="0" collapsed="false">
      <c r="A12" s="4" t="s">
        <v>18</v>
      </c>
      <c r="B12" s="4" t="s">
        <v>19</v>
      </c>
    </row>
    <row r="13" customFormat="false" ht="15" hidden="false" customHeight="false" outlineLevel="0" collapsed="false">
      <c r="A13" s="4" t="s">
        <v>20</v>
      </c>
      <c r="B13" s="4" t="s">
        <v>21</v>
      </c>
    </row>
    <row r="14" customFormat="false" ht="15" hidden="false" customHeight="false" outlineLevel="0" collapsed="false">
      <c r="A14" s="4" t="s">
        <v>22</v>
      </c>
      <c r="B14" s="4" t="s">
        <v>23</v>
      </c>
    </row>
    <row r="15" customFormat="false" ht="15" hidden="false" customHeight="false" outlineLevel="0" collapsed="false">
      <c r="A15" s="4" t="s">
        <v>24</v>
      </c>
      <c r="B15" s="4" t="s">
        <v>25</v>
      </c>
    </row>
    <row r="16" customFormat="false" ht="15" hidden="false" customHeight="false" outlineLevel="0" collapsed="false">
      <c r="A16" s="4" t="s">
        <v>26</v>
      </c>
      <c r="B16" s="4" t="s">
        <v>27</v>
      </c>
    </row>
    <row r="18" customFormat="false" ht="30" hidden="false" customHeight="true" outlineLevel="0" collapsed="false">
      <c r="A18" s="3" t="s">
        <v>28</v>
      </c>
      <c r="B18" s="3" t="s">
        <v>29</v>
      </c>
    </row>
    <row r="19" customFormat="false" ht="15" hidden="false" customHeight="false" outlineLevel="0" collapsed="false">
      <c r="A19" s="4" t="s">
        <v>30</v>
      </c>
      <c r="B19" s="4" t="s">
        <v>31</v>
      </c>
    </row>
    <row r="20" customFormat="false" ht="15" hidden="false" customHeight="false" outlineLevel="0" collapsed="false">
      <c r="A20" s="4" t="s">
        <v>32</v>
      </c>
      <c r="B20" s="4" t="s">
        <v>33</v>
      </c>
    </row>
    <row r="21" customFormat="false" ht="15" hidden="false" customHeight="false" outlineLevel="0" collapsed="false">
      <c r="A21" s="4" t="s">
        <v>34</v>
      </c>
      <c r="B21" s="4" t="s">
        <v>35</v>
      </c>
    </row>
    <row r="22" customFormat="false" ht="15" hidden="false" customHeight="false" outlineLevel="0" collapsed="false">
      <c r="A22" s="4" t="s">
        <v>36</v>
      </c>
      <c r="B22" s="4" t="s">
        <v>37</v>
      </c>
    </row>
    <row r="24" customFormat="false" ht="15" hidden="false" customHeight="false" outlineLevel="0" collapsed="false">
      <c r="A24" s="5" t="s">
        <v>38</v>
      </c>
    </row>
    <row r="25" customFormat="false" ht="15" hidden="false" customHeight="false" outlineLevel="0" collapsed="false">
      <c r="A25" s="6" t="s">
        <v>39</v>
      </c>
      <c r="B25" s="7" t="s">
        <v>40</v>
      </c>
    </row>
    <row r="26" customFormat="false" ht="15" hidden="false" customHeight="false" outlineLevel="0" collapsed="false">
      <c r="A26" s="7" t="s">
        <v>41</v>
      </c>
      <c r="B26" s="7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false"/>
  </sheetPr>
  <dimension ref="A1:D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40"/>
    <col collapsed="false" customWidth="true" hidden="false" outlineLevel="0" max="4" min="4" style="0" width="80"/>
  </cols>
  <sheetData>
    <row r="1" customFormat="false" ht="17.35" hidden="false" customHeight="false" outlineLevel="0" collapsed="false">
      <c r="A1" s="1" t="s">
        <v>4</v>
      </c>
    </row>
    <row r="2" customFormat="false" ht="15" hidden="false" customHeight="false" outlineLevel="0" collapsed="false">
      <c r="A2" s="2" t="s">
        <v>43</v>
      </c>
    </row>
    <row r="4" customFormat="false" ht="30" hidden="false" customHeight="true" outlineLevel="0" collapsed="false">
      <c r="A4" s="3" t="s">
        <v>44</v>
      </c>
      <c r="B4" s="3" t="s">
        <v>45</v>
      </c>
      <c r="C4" s="3" t="s">
        <v>46</v>
      </c>
      <c r="D4" s="3" t="s">
        <v>47</v>
      </c>
    </row>
    <row r="5" customFormat="false" ht="23.85" hidden="false" customHeight="false" outlineLevel="0" collapsed="false">
      <c r="A5" s="4" t="n">
        <v>1</v>
      </c>
      <c r="B5" s="4" t="s">
        <v>48</v>
      </c>
      <c r="C5" s="4" t="s">
        <v>49</v>
      </c>
      <c r="D5" s="4" t="s">
        <v>50</v>
      </c>
    </row>
    <row r="6" customFormat="false" ht="15" hidden="false" customHeight="false" outlineLevel="0" collapsed="false">
      <c r="A6" s="4" t="n">
        <v>2</v>
      </c>
      <c r="B6" s="4" t="s">
        <v>51</v>
      </c>
      <c r="C6" s="4" t="s">
        <v>52</v>
      </c>
      <c r="D6" s="4" t="s">
        <v>53</v>
      </c>
    </row>
    <row r="7" customFormat="false" ht="23.85" hidden="false" customHeight="false" outlineLevel="0" collapsed="false">
      <c r="A7" s="4" t="n">
        <v>3</v>
      </c>
      <c r="B7" s="4" t="s">
        <v>54</v>
      </c>
      <c r="C7" s="4" t="s">
        <v>55</v>
      </c>
      <c r="D7" s="4" t="s">
        <v>56</v>
      </c>
    </row>
    <row r="8" customFormat="false" ht="15" hidden="false" customHeight="false" outlineLevel="0" collapsed="false">
      <c r="A8" s="4" t="n">
        <v>4</v>
      </c>
      <c r="B8" s="4" t="s">
        <v>57</v>
      </c>
      <c r="C8" s="4" t="s">
        <v>58</v>
      </c>
      <c r="D8" s="4" t="s">
        <v>59</v>
      </c>
    </row>
    <row r="9" customFormat="false" ht="15" hidden="false" customHeight="false" outlineLevel="0" collapsed="false">
      <c r="A9" s="4" t="n">
        <v>5</v>
      </c>
      <c r="B9" s="4" t="s">
        <v>60</v>
      </c>
      <c r="C9" s="4" t="s">
        <v>61</v>
      </c>
      <c r="D9" s="4" t="s">
        <v>62</v>
      </c>
    </row>
    <row r="10" customFormat="false" ht="15" hidden="false" customHeight="false" outlineLevel="0" collapsed="false">
      <c r="A10" s="4" t="n">
        <v>6</v>
      </c>
      <c r="B10" s="4" t="s">
        <v>63</v>
      </c>
      <c r="C10" s="4" t="s">
        <v>64</v>
      </c>
      <c r="D10" s="4" t="s">
        <v>65</v>
      </c>
    </row>
    <row r="11" customFormat="false" ht="15" hidden="false" customHeight="false" outlineLevel="0" collapsed="false">
      <c r="A11" s="4" t="n">
        <v>7</v>
      </c>
      <c r="B11" s="4" t="s">
        <v>66</v>
      </c>
      <c r="C11" s="4" t="s">
        <v>67</v>
      </c>
      <c r="D11" s="4" t="s">
        <v>68</v>
      </c>
    </row>
    <row r="12" customFormat="false" ht="15" hidden="false" customHeight="false" outlineLevel="0" collapsed="false">
      <c r="A12" s="4" t="n">
        <v>8</v>
      </c>
      <c r="B12" s="4" t="s">
        <v>69</v>
      </c>
      <c r="C12" s="4" t="s">
        <v>70</v>
      </c>
      <c r="D12" s="4" t="s">
        <v>71</v>
      </c>
    </row>
    <row r="13" customFormat="false" ht="15" hidden="false" customHeight="false" outlineLevel="0" collapsed="false">
      <c r="A13" s="4" t="n">
        <v>9</v>
      </c>
      <c r="B13" s="4" t="s">
        <v>72</v>
      </c>
      <c r="C13" s="4" t="s">
        <v>73</v>
      </c>
      <c r="D13" s="4" t="s">
        <v>74</v>
      </c>
    </row>
    <row r="14" customFormat="false" ht="15" hidden="false" customHeight="false" outlineLevel="0" collapsed="false">
      <c r="A14" s="4" t="n">
        <v>10</v>
      </c>
      <c r="B14" s="4" t="s">
        <v>75</v>
      </c>
      <c r="C14" s="4" t="s">
        <v>76</v>
      </c>
      <c r="D14" s="4" t="s">
        <v>77</v>
      </c>
    </row>
    <row r="15" customFormat="false" ht="15" hidden="false" customHeight="false" outlineLevel="0" collapsed="false">
      <c r="A15" s="4" t="n">
        <v>11</v>
      </c>
      <c r="B15" s="4" t="s">
        <v>78</v>
      </c>
      <c r="C15" s="4" t="s">
        <v>79</v>
      </c>
      <c r="D15" s="4" t="s">
        <v>80</v>
      </c>
    </row>
    <row r="16" customFormat="false" ht="15" hidden="false" customHeight="false" outlineLevel="0" collapsed="false">
      <c r="A16" s="4" t="n">
        <v>12</v>
      </c>
      <c r="B16" s="4" t="s">
        <v>81</v>
      </c>
      <c r="C16" s="4" t="s">
        <v>82</v>
      </c>
      <c r="D16" s="4" t="s">
        <v>83</v>
      </c>
    </row>
    <row r="17" customFormat="false" ht="46.25" hidden="false" customHeight="false" outlineLevel="0" collapsed="false">
      <c r="A17" s="4" t="n">
        <v>13</v>
      </c>
      <c r="B17" s="4" t="s">
        <v>84</v>
      </c>
      <c r="C17" s="4" t="s">
        <v>85</v>
      </c>
      <c r="D17" s="4" t="s">
        <v>86</v>
      </c>
    </row>
    <row r="18" customFormat="false" ht="15" hidden="false" customHeight="false" outlineLevel="0" collapsed="false">
      <c r="A18" s="4" t="n">
        <v>14</v>
      </c>
      <c r="B18" s="4" t="s">
        <v>87</v>
      </c>
      <c r="C18" s="4" t="s">
        <v>88</v>
      </c>
      <c r="D18" s="4" t="s">
        <v>89</v>
      </c>
    </row>
    <row r="19" customFormat="false" ht="23.85" hidden="false" customHeight="false" outlineLevel="0" collapsed="false">
      <c r="A19" s="4" t="n">
        <v>15</v>
      </c>
      <c r="B19" s="4" t="s">
        <v>90</v>
      </c>
      <c r="C19" s="4" t="s">
        <v>91</v>
      </c>
      <c r="D19" s="4" t="s">
        <v>92</v>
      </c>
    </row>
    <row r="21" customFormat="false" ht="15" hidden="false" customHeight="false" outlineLevel="0" collapsed="false">
      <c r="A21" s="5" t="s">
        <v>93</v>
      </c>
    </row>
    <row r="22" customFormat="false" ht="30" hidden="false" customHeight="true" outlineLevel="0" collapsed="false">
      <c r="A22" s="8" t="s">
        <v>44</v>
      </c>
      <c r="B22" s="8" t="s">
        <v>94</v>
      </c>
      <c r="C22" s="8" t="s">
        <v>95</v>
      </c>
      <c r="D22" s="8"/>
    </row>
    <row r="23" customFormat="false" ht="46.25" hidden="false" customHeight="false" outlineLevel="0" collapsed="false">
      <c r="A23" s="4" t="n">
        <v>1</v>
      </c>
      <c r="B23" s="4" t="s">
        <v>96</v>
      </c>
      <c r="C23" s="4" t="s">
        <v>97</v>
      </c>
      <c r="D23" s="4"/>
    </row>
    <row r="24" customFormat="false" ht="46.25" hidden="false" customHeight="false" outlineLevel="0" collapsed="false">
      <c r="A24" s="4" t="n">
        <v>2</v>
      </c>
      <c r="B24" s="4" t="s">
        <v>98</v>
      </c>
      <c r="C24" s="4" t="s">
        <v>99</v>
      </c>
      <c r="D24" s="4"/>
    </row>
    <row r="26" customFormat="false" ht="15" hidden="false" customHeight="false" outlineLevel="0" collapsed="false">
      <c r="A26" s="5" t="s">
        <v>100</v>
      </c>
    </row>
    <row r="27" customFormat="false" ht="15" hidden="false" customHeight="false" outlineLevel="0" collapsed="false">
      <c r="A27" s="7" t="s">
        <v>101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W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0"/>
    <col collapsed="false" customWidth="true" hidden="false" outlineLevel="0" max="3" min="3" style="0" width="30"/>
    <col collapsed="false" customWidth="true" hidden="false" outlineLevel="0" max="5" min="4" style="0" width="8"/>
    <col collapsed="false" customWidth="true" hidden="false" outlineLevel="0" max="8" min="6" style="0" width="40"/>
    <col collapsed="false" customWidth="true" hidden="false" outlineLevel="0" max="23" min="9" style="0" width="5.51"/>
  </cols>
  <sheetData>
    <row r="1" customFormat="false" ht="17.35" hidden="false" customHeight="false" outlineLevel="0" collapsed="false">
      <c r="A1" s="1" t="s">
        <v>6</v>
      </c>
    </row>
    <row r="2" customFormat="false" ht="15" hidden="false" customHeight="false" outlineLevel="0" collapsed="false">
      <c r="A2" s="2" t="s">
        <v>102</v>
      </c>
    </row>
    <row r="4" customFormat="false" ht="15" hidden="false" customHeight="false" outlineLevel="0" collapsed="false">
      <c r="I4" s="9" t="n">
        <v>-60</v>
      </c>
      <c r="J4" s="9" t="n">
        <v>0</v>
      </c>
      <c r="K4" s="9" t="n">
        <v>7</v>
      </c>
      <c r="L4" s="9" t="n">
        <v>14</v>
      </c>
      <c r="M4" s="9" t="n">
        <v>21</v>
      </c>
      <c r="N4" s="9" t="n">
        <v>28</v>
      </c>
      <c r="O4" s="9" t="n">
        <v>35</v>
      </c>
      <c r="P4" s="9" t="n">
        <v>42</v>
      </c>
      <c r="Q4" s="9" t="n">
        <v>49</v>
      </c>
      <c r="R4" s="9" t="n">
        <v>56</v>
      </c>
      <c r="S4" s="9" t="n">
        <v>63</v>
      </c>
      <c r="T4" s="9" t="n">
        <v>70</v>
      </c>
      <c r="U4" s="9" t="n">
        <v>77</v>
      </c>
      <c r="V4" s="9" t="n">
        <v>84</v>
      </c>
      <c r="W4" s="9" t="n">
        <v>91</v>
      </c>
    </row>
    <row r="5" customFormat="false" ht="15" hidden="false" customHeight="false" outlineLevel="0" collapsed="false">
      <c r="I5" s="9" t="n">
        <v>-1</v>
      </c>
      <c r="J5" s="9" t="n">
        <v>6</v>
      </c>
      <c r="K5" s="9" t="n">
        <v>13</v>
      </c>
      <c r="L5" s="9" t="n">
        <v>20</v>
      </c>
      <c r="M5" s="9" t="n">
        <v>27</v>
      </c>
      <c r="N5" s="9" t="n">
        <v>34</v>
      </c>
      <c r="O5" s="9" t="n">
        <v>41</v>
      </c>
      <c r="P5" s="9" t="n">
        <v>48</v>
      </c>
      <c r="Q5" s="9" t="n">
        <v>55</v>
      </c>
      <c r="R5" s="9" t="n">
        <v>62</v>
      </c>
      <c r="S5" s="9" t="n">
        <v>69</v>
      </c>
      <c r="T5" s="9" t="n">
        <v>76</v>
      </c>
      <c r="U5" s="9" t="n">
        <v>83</v>
      </c>
      <c r="V5" s="9" t="n">
        <v>90</v>
      </c>
      <c r="W5" s="9" t="n">
        <v>400</v>
      </c>
    </row>
    <row r="6" customFormat="false" ht="30" hidden="false" customHeight="true" outlineLevel="0" collapsed="false">
      <c r="A6" s="3" t="s">
        <v>103</v>
      </c>
      <c r="B6" s="3" t="s">
        <v>104</v>
      </c>
      <c r="C6" s="3" t="s">
        <v>105</v>
      </c>
      <c r="D6" s="3" t="s">
        <v>106</v>
      </c>
      <c r="E6" s="3" t="s">
        <v>107</v>
      </c>
      <c r="F6" s="3" t="s">
        <v>108</v>
      </c>
      <c r="G6" s="3" t="s">
        <v>109</v>
      </c>
      <c r="H6" s="3" t="s">
        <v>110</v>
      </c>
      <c r="I6" s="3" t="s">
        <v>111</v>
      </c>
      <c r="J6" s="3" t="s">
        <v>112</v>
      </c>
      <c r="K6" s="3" t="s">
        <v>113</v>
      </c>
      <c r="L6" s="3" t="s">
        <v>114</v>
      </c>
      <c r="M6" s="3" t="s">
        <v>115</v>
      </c>
      <c r="N6" s="3" t="s">
        <v>116</v>
      </c>
      <c r="O6" s="3" t="s">
        <v>117</v>
      </c>
      <c r="P6" s="3" t="s">
        <v>118</v>
      </c>
      <c r="Q6" s="3" t="s">
        <v>119</v>
      </c>
      <c r="R6" s="3" t="s">
        <v>120</v>
      </c>
      <c r="S6" s="3" t="s">
        <v>121</v>
      </c>
      <c r="T6" s="3" t="s">
        <v>122</v>
      </c>
      <c r="U6" s="3" t="s">
        <v>123</v>
      </c>
      <c r="V6" s="3" t="s">
        <v>124</v>
      </c>
      <c r="W6" s="3" t="s">
        <v>125</v>
      </c>
    </row>
    <row r="7" customFormat="false" ht="35.05" hidden="false" customHeight="false" outlineLevel="0" collapsed="false">
      <c r="A7" s="4" t="s">
        <v>126</v>
      </c>
      <c r="B7" s="4" t="s">
        <v>127</v>
      </c>
      <c r="C7" s="4" t="s">
        <v>128</v>
      </c>
      <c r="D7" s="10" t="n">
        <v>-30</v>
      </c>
      <c r="E7" s="10" t="n">
        <v>0</v>
      </c>
      <c r="F7" s="4" t="s">
        <v>129</v>
      </c>
      <c r="G7" s="4" t="s">
        <v>130</v>
      </c>
      <c r="H7" s="4" t="s">
        <v>131</v>
      </c>
      <c r="I7" s="11" t="str">
        <f aca="false">IF(AND($D7&lt;=I$5,$E7&gt;=I$4),"■","")</f>
        <v>■</v>
      </c>
      <c r="J7" s="11" t="str">
        <f aca="false">IF(AND($D7&lt;=J$5,$E7&gt;=J$4),"■","")</f>
        <v>■</v>
      </c>
      <c r="K7" s="11" t="str">
        <f aca="false">IF(AND($D7&lt;=K$5,$E7&gt;=K$4),"■","")</f>
        <v/>
      </c>
      <c r="L7" s="11" t="str">
        <f aca="false">IF(AND($D7&lt;=L$5,$E7&gt;=L$4),"■","")</f>
        <v/>
      </c>
      <c r="M7" s="11" t="str">
        <f aca="false">IF(AND($D7&lt;=M$5,$E7&gt;=M$4),"■","")</f>
        <v/>
      </c>
      <c r="N7" s="11" t="str">
        <f aca="false">IF(AND($D7&lt;=N$5,$E7&gt;=N$4),"■","")</f>
        <v/>
      </c>
      <c r="O7" s="11" t="str">
        <f aca="false">IF(AND($D7&lt;=O$5,$E7&gt;=O$4),"■","")</f>
        <v/>
      </c>
      <c r="P7" s="11" t="str">
        <f aca="false">IF(AND($D7&lt;=P$5,$E7&gt;=P$4),"■","")</f>
        <v/>
      </c>
      <c r="Q7" s="11" t="str">
        <f aca="false">IF(AND($D7&lt;=Q$5,$E7&gt;=Q$4),"■","")</f>
        <v/>
      </c>
      <c r="R7" s="11" t="str">
        <f aca="false">IF(AND($D7&lt;=R$5,$E7&gt;=R$4),"■","")</f>
        <v/>
      </c>
      <c r="S7" s="11" t="str">
        <f aca="false">IF(AND($D7&lt;=S$5,$E7&gt;=S$4),"■","")</f>
        <v/>
      </c>
      <c r="T7" s="11" t="str">
        <f aca="false">IF(AND($D7&lt;=T$5,$E7&gt;=T$4),"■","")</f>
        <v/>
      </c>
      <c r="U7" s="11" t="str">
        <f aca="false">IF(AND($D7&lt;=U$5,$E7&gt;=U$4),"■","")</f>
        <v/>
      </c>
      <c r="V7" s="11" t="str">
        <f aca="false">IF(AND($D7&lt;=V$5,$E7&gt;=V$4),"■","")</f>
        <v/>
      </c>
      <c r="W7" s="11" t="str">
        <f aca="false">IF(AND($D7&lt;=W$5,$E7&gt;=W$4),"■","")</f>
        <v/>
      </c>
    </row>
    <row r="8" customFormat="false" ht="35.05" hidden="false" customHeight="false" outlineLevel="0" collapsed="false">
      <c r="A8" s="4" t="s">
        <v>132</v>
      </c>
      <c r="B8" s="4" t="s">
        <v>133</v>
      </c>
      <c r="C8" s="4" t="s">
        <v>134</v>
      </c>
      <c r="D8" s="10" t="n">
        <v>0</v>
      </c>
      <c r="E8" s="10" t="n">
        <v>3</v>
      </c>
      <c r="F8" s="4" t="s">
        <v>135</v>
      </c>
      <c r="G8" s="4" t="s">
        <v>136</v>
      </c>
      <c r="H8" s="4" t="s">
        <v>137</v>
      </c>
      <c r="I8" s="11" t="str">
        <f aca="false">IF(AND($D8&lt;=I$5,$E8&gt;=I$4),"■","")</f>
        <v/>
      </c>
      <c r="J8" s="11" t="str">
        <f aca="false">IF(AND($D8&lt;=J$5,$E8&gt;=J$4),"■","")</f>
        <v>■</v>
      </c>
      <c r="K8" s="11" t="str">
        <f aca="false">IF(AND($D8&lt;=K$5,$E8&gt;=K$4),"■","")</f>
        <v/>
      </c>
      <c r="L8" s="11" t="str">
        <f aca="false">IF(AND($D8&lt;=L$5,$E8&gt;=L$4),"■","")</f>
        <v/>
      </c>
      <c r="M8" s="11" t="str">
        <f aca="false">IF(AND($D8&lt;=M$5,$E8&gt;=M$4),"■","")</f>
        <v/>
      </c>
      <c r="N8" s="11" t="str">
        <f aca="false">IF(AND($D8&lt;=N$5,$E8&gt;=N$4),"■","")</f>
        <v/>
      </c>
      <c r="O8" s="11" t="str">
        <f aca="false">IF(AND($D8&lt;=O$5,$E8&gt;=O$4),"■","")</f>
        <v/>
      </c>
      <c r="P8" s="11" t="str">
        <f aca="false">IF(AND($D8&lt;=P$5,$E8&gt;=P$4),"■","")</f>
        <v/>
      </c>
      <c r="Q8" s="11" t="str">
        <f aca="false">IF(AND($D8&lt;=Q$5,$E8&gt;=Q$4),"■","")</f>
        <v/>
      </c>
      <c r="R8" s="11" t="str">
        <f aca="false">IF(AND($D8&lt;=R$5,$E8&gt;=R$4),"■","")</f>
        <v/>
      </c>
      <c r="S8" s="11" t="str">
        <f aca="false">IF(AND($D8&lt;=S$5,$E8&gt;=S$4),"■","")</f>
        <v/>
      </c>
      <c r="T8" s="11" t="str">
        <f aca="false">IF(AND($D8&lt;=T$5,$E8&gt;=T$4),"■","")</f>
        <v/>
      </c>
      <c r="U8" s="11" t="str">
        <f aca="false">IF(AND($D8&lt;=U$5,$E8&gt;=U$4),"■","")</f>
        <v/>
      </c>
      <c r="V8" s="11" t="str">
        <f aca="false">IF(AND($D8&lt;=V$5,$E8&gt;=V$4),"■","")</f>
        <v/>
      </c>
      <c r="W8" s="11" t="str">
        <f aca="false">IF(AND($D8&lt;=W$5,$E8&gt;=W$4),"■","")</f>
        <v/>
      </c>
    </row>
    <row r="9" customFormat="false" ht="35.05" hidden="false" customHeight="false" outlineLevel="0" collapsed="false">
      <c r="A9" s="4" t="s">
        <v>138</v>
      </c>
      <c r="B9" s="4" t="s">
        <v>139</v>
      </c>
      <c r="C9" s="4" t="s">
        <v>140</v>
      </c>
      <c r="D9" s="10" t="n">
        <v>1</v>
      </c>
      <c r="E9" s="10" t="n">
        <v>7</v>
      </c>
      <c r="F9" s="4" t="s">
        <v>141</v>
      </c>
      <c r="G9" s="4" t="s">
        <v>142</v>
      </c>
      <c r="H9" s="4" t="s">
        <v>143</v>
      </c>
      <c r="I9" s="11" t="str">
        <f aca="false">IF(AND($D9&lt;=I$5,$E9&gt;=I$4),"■","")</f>
        <v/>
      </c>
      <c r="J9" s="11" t="str">
        <f aca="false">IF(AND($D9&lt;=J$5,$E9&gt;=J$4),"■","")</f>
        <v>■</v>
      </c>
      <c r="K9" s="11" t="str">
        <f aca="false">IF(AND($D9&lt;=K$5,$E9&gt;=K$4),"■","")</f>
        <v>■</v>
      </c>
      <c r="L9" s="11" t="str">
        <f aca="false">IF(AND($D9&lt;=L$5,$E9&gt;=L$4),"■","")</f>
        <v/>
      </c>
      <c r="M9" s="11" t="str">
        <f aca="false">IF(AND($D9&lt;=M$5,$E9&gt;=M$4),"■","")</f>
        <v/>
      </c>
      <c r="N9" s="11" t="str">
        <f aca="false">IF(AND($D9&lt;=N$5,$E9&gt;=N$4),"■","")</f>
        <v/>
      </c>
      <c r="O9" s="11" t="str">
        <f aca="false">IF(AND($D9&lt;=O$5,$E9&gt;=O$4),"■","")</f>
        <v/>
      </c>
      <c r="P9" s="11" t="str">
        <f aca="false">IF(AND($D9&lt;=P$5,$E9&gt;=P$4),"■","")</f>
        <v/>
      </c>
      <c r="Q9" s="11" t="str">
        <f aca="false">IF(AND($D9&lt;=Q$5,$E9&gt;=Q$4),"■","")</f>
        <v/>
      </c>
      <c r="R9" s="11" t="str">
        <f aca="false">IF(AND($D9&lt;=R$5,$E9&gt;=R$4),"■","")</f>
        <v/>
      </c>
      <c r="S9" s="11" t="str">
        <f aca="false">IF(AND($D9&lt;=S$5,$E9&gt;=S$4),"■","")</f>
        <v/>
      </c>
      <c r="T9" s="11" t="str">
        <f aca="false">IF(AND($D9&lt;=T$5,$E9&gt;=T$4),"■","")</f>
        <v/>
      </c>
      <c r="U9" s="11" t="str">
        <f aca="false">IF(AND($D9&lt;=U$5,$E9&gt;=U$4),"■","")</f>
        <v/>
      </c>
      <c r="V9" s="11" t="str">
        <f aca="false">IF(AND($D9&lt;=V$5,$E9&gt;=V$4),"■","")</f>
        <v/>
      </c>
      <c r="W9" s="11" t="str">
        <f aca="false">IF(AND($D9&lt;=W$5,$E9&gt;=W$4),"■","")</f>
        <v/>
      </c>
    </row>
    <row r="10" customFormat="false" ht="23.85" hidden="false" customHeight="false" outlineLevel="0" collapsed="false">
      <c r="A10" s="4" t="s">
        <v>144</v>
      </c>
      <c r="B10" s="4" t="s">
        <v>145</v>
      </c>
      <c r="C10" s="4" t="s">
        <v>146</v>
      </c>
      <c r="D10" s="10" t="n">
        <v>5</v>
      </c>
      <c r="E10" s="10" t="n">
        <v>10</v>
      </c>
      <c r="F10" s="4" t="s">
        <v>147</v>
      </c>
      <c r="G10" s="4" t="s">
        <v>148</v>
      </c>
      <c r="H10" s="4" t="s">
        <v>149</v>
      </c>
      <c r="I10" s="11" t="str">
        <f aca="false">IF(AND($D10&lt;=I$5,$E10&gt;=I$4),"■","")</f>
        <v/>
      </c>
      <c r="J10" s="11" t="str">
        <f aca="false">IF(AND($D10&lt;=J$5,$E10&gt;=J$4),"■","")</f>
        <v>■</v>
      </c>
      <c r="K10" s="11" t="str">
        <f aca="false">IF(AND($D10&lt;=K$5,$E10&gt;=K$4),"■","")</f>
        <v>■</v>
      </c>
      <c r="L10" s="11" t="str">
        <f aca="false">IF(AND($D10&lt;=L$5,$E10&gt;=L$4),"■","")</f>
        <v/>
      </c>
      <c r="M10" s="11" t="str">
        <f aca="false">IF(AND($D10&lt;=M$5,$E10&gt;=M$4),"■","")</f>
        <v/>
      </c>
      <c r="N10" s="11" t="str">
        <f aca="false">IF(AND($D10&lt;=N$5,$E10&gt;=N$4),"■","")</f>
        <v/>
      </c>
      <c r="O10" s="11" t="str">
        <f aca="false">IF(AND($D10&lt;=O$5,$E10&gt;=O$4),"■","")</f>
        <v/>
      </c>
      <c r="P10" s="11" t="str">
        <f aca="false">IF(AND($D10&lt;=P$5,$E10&gt;=P$4),"■","")</f>
        <v/>
      </c>
      <c r="Q10" s="11" t="str">
        <f aca="false">IF(AND($D10&lt;=Q$5,$E10&gt;=Q$4),"■","")</f>
        <v/>
      </c>
      <c r="R10" s="11" t="str">
        <f aca="false">IF(AND($D10&lt;=R$5,$E10&gt;=R$4),"■","")</f>
        <v/>
      </c>
      <c r="S10" s="11" t="str">
        <f aca="false">IF(AND($D10&lt;=S$5,$E10&gt;=S$4),"■","")</f>
        <v/>
      </c>
      <c r="T10" s="11" t="str">
        <f aca="false">IF(AND($D10&lt;=T$5,$E10&gt;=T$4),"■","")</f>
        <v/>
      </c>
      <c r="U10" s="11" t="str">
        <f aca="false">IF(AND($D10&lt;=U$5,$E10&gt;=U$4),"■","")</f>
        <v/>
      </c>
      <c r="V10" s="11" t="str">
        <f aca="false">IF(AND($D10&lt;=V$5,$E10&gt;=V$4),"■","")</f>
        <v/>
      </c>
      <c r="W10" s="11" t="str">
        <f aca="false">IF(AND($D10&lt;=W$5,$E10&gt;=W$4),"■","")</f>
        <v/>
      </c>
    </row>
    <row r="11" customFormat="false" ht="35.05" hidden="false" customHeight="false" outlineLevel="0" collapsed="false">
      <c r="A11" s="4" t="s">
        <v>150</v>
      </c>
      <c r="B11" s="4" t="s">
        <v>151</v>
      </c>
      <c r="C11" s="4" t="s">
        <v>152</v>
      </c>
      <c r="D11" s="10" t="n">
        <v>7</v>
      </c>
      <c r="E11" s="10" t="n">
        <v>30</v>
      </c>
      <c r="F11" s="4" t="s">
        <v>153</v>
      </c>
      <c r="G11" s="4" t="s">
        <v>154</v>
      </c>
      <c r="H11" s="4" t="s">
        <v>155</v>
      </c>
      <c r="I11" s="11" t="str">
        <f aca="false">IF(AND($D11&lt;=I$5,$E11&gt;=I$4),"■","")</f>
        <v/>
      </c>
      <c r="J11" s="11" t="str">
        <f aca="false">IF(AND($D11&lt;=J$5,$E11&gt;=J$4),"■","")</f>
        <v/>
      </c>
      <c r="K11" s="11" t="str">
        <f aca="false">IF(AND($D11&lt;=K$5,$E11&gt;=K$4),"■","")</f>
        <v>■</v>
      </c>
      <c r="L11" s="11" t="str">
        <f aca="false">IF(AND($D11&lt;=L$5,$E11&gt;=L$4),"■","")</f>
        <v>■</v>
      </c>
      <c r="M11" s="11" t="str">
        <f aca="false">IF(AND($D11&lt;=M$5,$E11&gt;=M$4),"■","")</f>
        <v>■</v>
      </c>
      <c r="N11" s="11" t="str">
        <f aca="false">IF(AND($D11&lt;=N$5,$E11&gt;=N$4),"■","")</f>
        <v>■</v>
      </c>
      <c r="O11" s="11" t="str">
        <f aca="false">IF(AND($D11&lt;=O$5,$E11&gt;=O$4),"■","")</f>
        <v/>
      </c>
      <c r="P11" s="11" t="str">
        <f aca="false">IF(AND($D11&lt;=P$5,$E11&gt;=P$4),"■","")</f>
        <v/>
      </c>
      <c r="Q11" s="11" t="str">
        <f aca="false">IF(AND($D11&lt;=Q$5,$E11&gt;=Q$4),"■","")</f>
        <v/>
      </c>
      <c r="R11" s="11" t="str">
        <f aca="false">IF(AND($D11&lt;=R$5,$E11&gt;=R$4),"■","")</f>
        <v/>
      </c>
      <c r="S11" s="11" t="str">
        <f aca="false">IF(AND($D11&lt;=S$5,$E11&gt;=S$4),"■","")</f>
        <v/>
      </c>
      <c r="T11" s="11" t="str">
        <f aca="false">IF(AND($D11&lt;=T$5,$E11&gt;=T$4),"■","")</f>
        <v/>
      </c>
      <c r="U11" s="11" t="str">
        <f aca="false">IF(AND($D11&lt;=U$5,$E11&gt;=U$4),"■","")</f>
        <v/>
      </c>
      <c r="V11" s="11" t="str">
        <f aca="false">IF(AND($D11&lt;=V$5,$E11&gt;=V$4),"■","")</f>
        <v/>
      </c>
      <c r="W11" s="11" t="str">
        <f aca="false">IF(AND($D11&lt;=W$5,$E11&gt;=W$4),"■","")</f>
        <v/>
      </c>
    </row>
    <row r="12" customFormat="false" ht="23.85" hidden="false" customHeight="false" outlineLevel="0" collapsed="false">
      <c r="A12" s="4" t="s">
        <v>156</v>
      </c>
      <c r="B12" s="4" t="s">
        <v>157</v>
      </c>
      <c r="C12" s="4" t="s">
        <v>158</v>
      </c>
      <c r="D12" s="10" t="n">
        <v>21</v>
      </c>
      <c r="E12" s="10" t="n">
        <v>75</v>
      </c>
      <c r="F12" s="4" t="s">
        <v>159</v>
      </c>
      <c r="G12" s="4" t="s">
        <v>160</v>
      </c>
      <c r="H12" s="4" t="s">
        <v>161</v>
      </c>
      <c r="I12" s="11" t="str">
        <f aca="false">IF(AND($D12&lt;=I$5,$E12&gt;=I$4),"■","")</f>
        <v/>
      </c>
      <c r="J12" s="11" t="str">
        <f aca="false">IF(AND($D12&lt;=J$5,$E12&gt;=J$4),"■","")</f>
        <v/>
      </c>
      <c r="K12" s="11" t="str">
        <f aca="false">IF(AND($D12&lt;=K$5,$E12&gt;=K$4),"■","")</f>
        <v/>
      </c>
      <c r="L12" s="11" t="str">
        <f aca="false">IF(AND($D12&lt;=L$5,$E12&gt;=L$4),"■","")</f>
        <v/>
      </c>
      <c r="M12" s="11" t="str">
        <f aca="false">IF(AND($D12&lt;=M$5,$E12&gt;=M$4),"■","")</f>
        <v>■</v>
      </c>
      <c r="N12" s="11" t="str">
        <f aca="false">IF(AND($D12&lt;=N$5,$E12&gt;=N$4),"■","")</f>
        <v>■</v>
      </c>
      <c r="O12" s="11" t="str">
        <f aca="false">IF(AND($D12&lt;=O$5,$E12&gt;=O$4),"■","")</f>
        <v>■</v>
      </c>
      <c r="P12" s="11" t="str">
        <f aca="false">IF(AND($D12&lt;=P$5,$E12&gt;=P$4),"■","")</f>
        <v>■</v>
      </c>
      <c r="Q12" s="11" t="str">
        <f aca="false">IF(AND($D12&lt;=Q$5,$E12&gt;=Q$4),"■","")</f>
        <v>■</v>
      </c>
      <c r="R12" s="11" t="str">
        <f aca="false">IF(AND($D12&lt;=R$5,$E12&gt;=R$4),"■","")</f>
        <v>■</v>
      </c>
      <c r="S12" s="11" t="str">
        <f aca="false">IF(AND($D12&lt;=S$5,$E12&gt;=S$4),"■","")</f>
        <v>■</v>
      </c>
      <c r="T12" s="11" t="str">
        <f aca="false">IF(AND($D12&lt;=T$5,$E12&gt;=T$4),"■","")</f>
        <v>■</v>
      </c>
      <c r="U12" s="11" t="str">
        <f aca="false">IF(AND($D12&lt;=U$5,$E12&gt;=U$4),"■","")</f>
        <v/>
      </c>
      <c r="V12" s="11" t="str">
        <f aca="false">IF(AND($D12&lt;=V$5,$E12&gt;=V$4),"■","")</f>
        <v/>
      </c>
      <c r="W12" s="11" t="str">
        <f aca="false">IF(AND($D12&lt;=W$5,$E12&gt;=W$4),"■","")</f>
        <v/>
      </c>
    </row>
    <row r="13" customFormat="false" ht="23.85" hidden="false" customHeight="false" outlineLevel="0" collapsed="false">
      <c r="A13" s="4" t="s">
        <v>162</v>
      </c>
      <c r="B13" s="4" t="s">
        <v>163</v>
      </c>
      <c r="C13" s="4" t="s">
        <v>164</v>
      </c>
      <c r="D13" s="10" t="n">
        <v>14</v>
      </c>
      <c r="E13" s="10" t="n">
        <v>85</v>
      </c>
      <c r="F13" s="4" t="s">
        <v>165</v>
      </c>
      <c r="G13" s="4" t="s">
        <v>166</v>
      </c>
      <c r="H13" s="4" t="s">
        <v>167</v>
      </c>
      <c r="I13" s="11" t="str">
        <f aca="false">IF(AND($D13&lt;=I$5,$E13&gt;=I$4),"■","")</f>
        <v/>
      </c>
      <c r="J13" s="11" t="str">
        <f aca="false">IF(AND($D13&lt;=J$5,$E13&gt;=J$4),"■","")</f>
        <v/>
      </c>
      <c r="K13" s="11" t="str">
        <f aca="false">IF(AND($D13&lt;=K$5,$E13&gt;=K$4),"■","")</f>
        <v/>
      </c>
      <c r="L13" s="11" t="str">
        <f aca="false">IF(AND($D13&lt;=L$5,$E13&gt;=L$4),"■","")</f>
        <v>■</v>
      </c>
      <c r="M13" s="11" t="str">
        <f aca="false">IF(AND($D13&lt;=M$5,$E13&gt;=M$4),"■","")</f>
        <v>■</v>
      </c>
      <c r="N13" s="11" t="str">
        <f aca="false">IF(AND($D13&lt;=N$5,$E13&gt;=N$4),"■","")</f>
        <v>■</v>
      </c>
      <c r="O13" s="11" t="str">
        <f aca="false">IF(AND($D13&lt;=O$5,$E13&gt;=O$4),"■","")</f>
        <v>■</v>
      </c>
      <c r="P13" s="11" t="str">
        <f aca="false">IF(AND($D13&lt;=P$5,$E13&gt;=P$4),"■","")</f>
        <v>■</v>
      </c>
      <c r="Q13" s="11" t="str">
        <f aca="false">IF(AND($D13&lt;=Q$5,$E13&gt;=Q$4),"■","")</f>
        <v>■</v>
      </c>
      <c r="R13" s="11" t="str">
        <f aca="false">IF(AND($D13&lt;=R$5,$E13&gt;=R$4),"■","")</f>
        <v>■</v>
      </c>
      <c r="S13" s="11" t="str">
        <f aca="false">IF(AND($D13&lt;=S$5,$E13&gt;=S$4),"■","")</f>
        <v>■</v>
      </c>
      <c r="T13" s="11" t="str">
        <f aca="false">IF(AND($D13&lt;=T$5,$E13&gt;=T$4),"■","")</f>
        <v>■</v>
      </c>
      <c r="U13" s="11" t="str">
        <f aca="false">IF(AND($D13&lt;=U$5,$E13&gt;=U$4),"■","")</f>
        <v>■</v>
      </c>
      <c r="V13" s="11" t="str">
        <f aca="false">IF(AND($D13&lt;=V$5,$E13&gt;=V$4),"■","")</f>
        <v>■</v>
      </c>
      <c r="W13" s="11" t="str">
        <f aca="false">IF(AND($D13&lt;=W$5,$E13&gt;=W$4),"■","")</f>
        <v/>
      </c>
    </row>
    <row r="14" customFormat="false" ht="35.05" hidden="false" customHeight="false" outlineLevel="0" collapsed="false">
      <c r="A14" s="4" t="s">
        <v>168</v>
      </c>
      <c r="B14" s="4" t="s">
        <v>169</v>
      </c>
      <c r="C14" s="4" t="s">
        <v>170</v>
      </c>
      <c r="D14" s="10" t="n">
        <v>7</v>
      </c>
      <c r="E14" s="10" t="n">
        <v>90</v>
      </c>
      <c r="F14" s="4" t="s">
        <v>171</v>
      </c>
      <c r="G14" s="4" t="s">
        <v>172</v>
      </c>
      <c r="H14" s="4" t="s">
        <v>173</v>
      </c>
      <c r="I14" s="11" t="str">
        <f aca="false">IF(AND($D14&lt;=I$5,$E14&gt;=I$4),"■","")</f>
        <v/>
      </c>
      <c r="J14" s="11" t="str">
        <f aca="false">IF(AND($D14&lt;=J$5,$E14&gt;=J$4),"■","")</f>
        <v/>
      </c>
      <c r="K14" s="11" t="str">
        <f aca="false">IF(AND($D14&lt;=K$5,$E14&gt;=K$4),"■","")</f>
        <v>■</v>
      </c>
      <c r="L14" s="11" t="str">
        <f aca="false">IF(AND($D14&lt;=L$5,$E14&gt;=L$4),"■","")</f>
        <v>■</v>
      </c>
      <c r="M14" s="11" t="str">
        <f aca="false">IF(AND($D14&lt;=M$5,$E14&gt;=M$4),"■","")</f>
        <v>■</v>
      </c>
      <c r="N14" s="11" t="str">
        <f aca="false">IF(AND($D14&lt;=N$5,$E14&gt;=N$4),"■","")</f>
        <v>■</v>
      </c>
      <c r="O14" s="11" t="str">
        <f aca="false">IF(AND($D14&lt;=O$5,$E14&gt;=O$4),"■","")</f>
        <v>■</v>
      </c>
      <c r="P14" s="11" t="str">
        <f aca="false">IF(AND($D14&lt;=P$5,$E14&gt;=P$4),"■","")</f>
        <v>■</v>
      </c>
      <c r="Q14" s="11" t="str">
        <f aca="false">IF(AND($D14&lt;=Q$5,$E14&gt;=Q$4),"■","")</f>
        <v>■</v>
      </c>
      <c r="R14" s="11" t="str">
        <f aca="false">IF(AND($D14&lt;=R$5,$E14&gt;=R$4),"■","")</f>
        <v>■</v>
      </c>
      <c r="S14" s="11" t="str">
        <f aca="false">IF(AND($D14&lt;=S$5,$E14&gt;=S$4),"■","")</f>
        <v>■</v>
      </c>
      <c r="T14" s="11" t="str">
        <f aca="false">IF(AND($D14&lt;=T$5,$E14&gt;=T$4),"■","")</f>
        <v>■</v>
      </c>
      <c r="U14" s="11" t="str">
        <f aca="false">IF(AND($D14&lt;=U$5,$E14&gt;=U$4),"■","")</f>
        <v>■</v>
      </c>
      <c r="V14" s="11" t="str">
        <f aca="false">IF(AND($D14&lt;=V$5,$E14&gt;=V$4),"■","")</f>
        <v>■</v>
      </c>
      <c r="W14" s="11" t="str">
        <f aca="false">IF(AND($D14&lt;=W$5,$E14&gt;=W$4),"■","")</f>
        <v/>
      </c>
    </row>
    <row r="15" customFormat="false" ht="23.85" hidden="false" customHeight="false" outlineLevel="0" collapsed="false">
      <c r="A15" s="4" t="s">
        <v>174</v>
      </c>
      <c r="B15" s="4" t="s">
        <v>175</v>
      </c>
      <c r="C15" s="4" t="s">
        <v>176</v>
      </c>
      <c r="D15" s="10" t="n">
        <v>60</v>
      </c>
      <c r="E15" s="10" t="n">
        <v>90</v>
      </c>
      <c r="F15" s="4" t="s">
        <v>177</v>
      </c>
      <c r="G15" s="4" t="s">
        <v>178</v>
      </c>
      <c r="H15" s="4" t="s">
        <v>179</v>
      </c>
      <c r="I15" s="11" t="str">
        <f aca="false">IF(AND($D15&lt;=I$5,$E15&gt;=I$4),"■","")</f>
        <v/>
      </c>
      <c r="J15" s="11" t="str">
        <f aca="false">IF(AND($D15&lt;=J$5,$E15&gt;=J$4),"■","")</f>
        <v/>
      </c>
      <c r="K15" s="11" t="str">
        <f aca="false">IF(AND($D15&lt;=K$5,$E15&gt;=K$4),"■","")</f>
        <v/>
      </c>
      <c r="L15" s="11" t="str">
        <f aca="false">IF(AND($D15&lt;=L$5,$E15&gt;=L$4),"■","")</f>
        <v/>
      </c>
      <c r="M15" s="11" t="str">
        <f aca="false">IF(AND($D15&lt;=M$5,$E15&gt;=M$4),"■","")</f>
        <v/>
      </c>
      <c r="N15" s="11" t="str">
        <f aca="false">IF(AND($D15&lt;=N$5,$E15&gt;=N$4),"■","")</f>
        <v/>
      </c>
      <c r="O15" s="11" t="str">
        <f aca="false">IF(AND($D15&lt;=O$5,$E15&gt;=O$4),"■","")</f>
        <v/>
      </c>
      <c r="P15" s="11" t="str">
        <f aca="false">IF(AND($D15&lt;=P$5,$E15&gt;=P$4),"■","")</f>
        <v/>
      </c>
      <c r="Q15" s="11" t="str">
        <f aca="false">IF(AND($D15&lt;=Q$5,$E15&gt;=Q$4),"■","")</f>
        <v/>
      </c>
      <c r="R15" s="11" t="str">
        <f aca="false">IF(AND($D15&lt;=R$5,$E15&gt;=R$4),"■","")</f>
        <v>■</v>
      </c>
      <c r="S15" s="11" t="str">
        <f aca="false">IF(AND($D15&lt;=S$5,$E15&gt;=S$4),"■","")</f>
        <v>■</v>
      </c>
      <c r="T15" s="11" t="str">
        <f aca="false">IF(AND($D15&lt;=T$5,$E15&gt;=T$4),"■","")</f>
        <v>■</v>
      </c>
      <c r="U15" s="11" t="str">
        <f aca="false">IF(AND($D15&lt;=U$5,$E15&gt;=U$4),"■","")</f>
        <v>■</v>
      </c>
      <c r="V15" s="11" t="str">
        <f aca="false">IF(AND($D15&lt;=V$5,$E15&gt;=V$4),"■","")</f>
        <v>■</v>
      </c>
      <c r="W15" s="11" t="str">
        <f aca="false">IF(AND($D15&lt;=W$5,$E15&gt;=W$4),"■","")</f>
        <v/>
      </c>
    </row>
    <row r="16" customFormat="false" ht="23.85" hidden="false" customHeight="false" outlineLevel="0" collapsed="false">
      <c r="A16" s="4" t="s">
        <v>180</v>
      </c>
      <c r="B16" s="4" t="s">
        <v>181</v>
      </c>
      <c r="C16" s="4" t="s">
        <v>182</v>
      </c>
      <c r="D16" s="10" t="n">
        <v>90</v>
      </c>
      <c r="E16" s="10" t="n">
        <v>270</v>
      </c>
      <c r="F16" s="4" t="s">
        <v>183</v>
      </c>
      <c r="G16" s="4" t="s">
        <v>184</v>
      </c>
      <c r="H16" s="4" t="s">
        <v>185</v>
      </c>
      <c r="I16" s="11" t="str">
        <f aca="false">IF(AND($D16&lt;=I$5,$E16&gt;=I$4),"■","")</f>
        <v/>
      </c>
      <c r="J16" s="11" t="str">
        <f aca="false">IF(AND($D16&lt;=J$5,$E16&gt;=J$4),"■","")</f>
        <v/>
      </c>
      <c r="K16" s="11" t="str">
        <f aca="false">IF(AND($D16&lt;=K$5,$E16&gt;=K$4),"■","")</f>
        <v/>
      </c>
      <c r="L16" s="11" t="str">
        <f aca="false">IF(AND($D16&lt;=L$5,$E16&gt;=L$4),"■","")</f>
        <v/>
      </c>
      <c r="M16" s="11" t="str">
        <f aca="false">IF(AND($D16&lt;=M$5,$E16&gt;=M$4),"■","")</f>
        <v/>
      </c>
      <c r="N16" s="11" t="str">
        <f aca="false">IF(AND($D16&lt;=N$5,$E16&gt;=N$4),"■","")</f>
        <v/>
      </c>
      <c r="O16" s="11" t="str">
        <f aca="false">IF(AND($D16&lt;=O$5,$E16&gt;=O$4),"■","")</f>
        <v/>
      </c>
      <c r="P16" s="11" t="str">
        <f aca="false">IF(AND($D16&lt;=P$5,$E16&gt;=P$4),"■","")</f>
        <v/>
      </c>
      <c r="Q16" s="11" t="str">
        <f aca="false">IF(AND($D16&lt;=Q$5,$E16&gt;=Q$4),"■","")</f>
        <v/>
      </c>
      <c r="R16" s="11" t="str">
        <f aca="false">IF(AND($D16&lt;=R$5,$E16&gt;=R$4),"■","")</f>
        <v/>
      </c>
      <c r="S16" s="11" t="str">
        <f aca="false">IF(AND($D16&lt;=S$5,$E16&gt;=S$4),"■","")</f>
        <v/>
      </c>
      <c r="T16" s="11" t="str">
        <f aca="false">IF(AND($D16&lt;=T$5,$E16&gt;=T$4),"■","")</f>
        <v/>
      </c>
      <c r="U16" s="11" t="str">
        <f aca="false">IF(AND($D16&lt;=U$5,$E16&gt;=U$4),"■","")</f>
        <v/>
      </c>
      <c r="V16" s="11" t="str">
        <f aca="false">IF(AND($D16&lt;=V$5,$E16&gt;=V$4),"■","")</f>
        <v>■</v>
      </c>
      <c r="W16" s="11" t="str">
        <f aca="false">IF(AND($D16&lt;=W$5,$E16&gt;=W$4),"■","")</f>
        <v>■</v>
      </c>
    </row>
  </sheetData>
  <conditionalFormatting sqref="I7:W16">
    <cfRule type="cellIs" priority="2" operator="equal" aboveAverage="0" equalAverage="0" bottom="0" percent="0" rank="0" text="" dxfId="0">
      <formula>"■"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AA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4" min="4" style="0" width="55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7"/>
    <col collapsed="false" customWidth="true" hidden="false" outlineLevel="0" max="9" min="8" style="0" width="9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26"/>
    <col collapsed="false" customWidth="true" hidden="false" outlineLevel="0" max="27" min="13" style="0" width="5.51"/>
  </cols>
  <sheetData>
    <row r="1" customFormat="false" ht="17.35" hidden="false" customHeight="false" outlineLevel="0" collapsed="false">
      <c r="A1" s="1" t="s">
        <v>8</v>
      </c>
    </row>
    <row r="2" customFormat="false" ht="15" hidden="false" customHeight="false" outlineLevel="0" collapsed="false">
      <c r="A2" s="2" t="s">
        <v>186</v>
      </c>
    </row>
    <row r="3" customFormat="false" ht="15" hidden="false" customHeight="false" outlineLevel="0" collapsed="false">
      <c r="A3" s="12" t="s">
        <v>187</v>
      </c>
      <c r="C3" s="13" t="n">
        <v>90</v>
      </c>
      <c r="D3" s="12" t="s">
        <v>188</v>
      </c>
      <c r="E3" s="14" t="n">
        <v>90</v>
      </c>
      <c r="F3" s="12" t="s">
        <v>189</v>
      </c>
      <c r="G3" s="14" t="n">
        <v>10</v>
      </c>
    </row>
    <row r="4" customFormat="false" ht="15" hidden="false" customHeight="false" outlineLevel="0" collapsed="false">
      <c r="M4" s="9" t="n">
        <v>-60</v>
      </c>
      <c r="N4" s="9" t="n">
        <v>0</v>
      </c>
      <c r="O4" s="9" t="n">
        <v>7</v>
      </c>
      <c r="P4" s="9" t="n">
        <v>14</v>
      </c>
      <c r="Q4" s="9" t="n">
        <v>21</v>
      </c>
      <c r="R4" s="9" t="n">
        <v>28</v>
      </c>
      <c r="S4" s="9" t="n">
        <v>35</v>
      </c>
      <c r="T4" s="9" t="n">
        <v>42</v>
      </c>
      <c r="U4" s="9" t="n">
        <v>49</v>
      </c>
      <c r="V4" s="9" t="n">
        <v>56</v>
      </c>
      <c r="W4" s="9" t="n">
        <v>63</v>
      </c>
      <c r="X4" s="9" t="n">
        <v>70</v>
      </c>
      <c r="Y4" s="9" t="n">
        <v>77</v>
      </c>
      <c r="Z4" s="9" t="n">
        <v>84</v>
      </c>
      <c r="AA4" s="9" t="n">
        <v>91</v>
      </c>
    </row>
    <row r="5" customFormat="false" ht="15" hidden="false" customHeight="false" outlineLevel="0" collapsed="false">
      <c r="M5" s="9" t="n">
        <v>-1</v>
      </c>
      <c r="N5" s="9" t="n">
        <v>6</v>
      </c>
      <c r="O5" s="9" t="n">
        <v>13</v>
      </c>
      <c r="P5" s="9" t="n">
        <v>20</v>
      </c>
      <c r="Q5" s="9" t="n">
        <v>27</v>
      </c>
      <c r="R5" s="9" t="n">
        <v>34</v>
      </c>
      <c r="S5" s="9" t="n">
        <v>41</v>
      </c>
      <c r="T5" s="9" t="n">
        <v>48</v>
      </c>
      <c r="U5" s="9" t="n">
        <v>55</v>
      </c>
      <c r="V5" s="9" t="n">
        <v>62</v>
      </c>
      <c r="W5" s="9" t="n">
        <v>69</v>
      </c>
      <c r="X5" s="9" t="n">
        <v>76</v>
      </c>
      <c r="Y5" s="9" t="n">
        <v>83</v>
      </c>
      <c r="Z5" s="9" t="n">
        <v>90</v>
      </c>
      <c r="AA5" s="9" t="n">
        <v>400</v>
      </c>
    </row>
    <row r="6" customFormat="false" ht="30" hidden="false" customHeight="true" outlineLevel="0" collapsed="false">
      <c r="A6" s="3" t="s">
        <v>190</v>
      </c>
      <c r="B6" s="3" t="s">
        <v>191</v>
      </c>
      <c r="C6" s="3" t="s">
        <v>192</v>
      </c>
      <c r="D6" s="3" t="s">
        <v>193</v>
      </c>
      <c r="E6" s="3" t="s">
        <v>194</v>
      </c>
      <c r="F6" s="3" t="s">
        <v>195</v>
      </c>
      <c r="G6" s="3" t="s">
        <v>106</v>
      </c>
      <c r="H6" s="3" t="s">
        <v>196</v>
      </c>
      <c r="I6" s="3" t="s">
        <v>197</v>
      </c>
      <c r="J6" s="3" t="s">
        <v>198</v>
      </c>
      <c r="K6" s="3" t="s">
        <v>199</v>
      </c>
      <c r="L6" s="3" t="s">
        <v>200</v>
      </c>
      <c r="M6" s="3" t="s">
        <v>111</v>
      </c>
      <c r="N6" s="3" t="s">
        <v>112</v>
      </c>
      <c r="O6" s="3" t="s">
        <v>113</v>
      </c>
      <c r="P6" s="3" t="s">
        <v>114</v>
      </c>
      <c r="Q6" s="3" t="s">
        <v>115</v>
      </c>
      <c r="R6" s="3" t="s">
        <v>116</v>
      </c>
      <c r="S6" s="3" t="s">
        <v>117</v>
      </c>
      <c r="T6" s="3" t="s">
        <v>118</v>
      </c>
      <c r="U6" s="3" t="s">
        <v>119</v>
      </c>
      <c r="V6" s="3" t="s">
        <v>120</v>
      </c>
      <c r="W6" s="3" t="s">
        <v>121</v>
      </c>
      <c r="X6" s="3" t="s">
        <v>122</v>
      </c>
      <c r="Y6" s="3" t="s">
        <v>123</v>
      </c>
      <c r="Z6" s="3" t="s">
        <v>124</v>
      </c>
      <c r="AA6" s="3" t="s">
        <v>125</v>
      </c>
    </row>
    <row r="7" customFormat="false" ht="23.85" hidden="false" customHeight="false" outlineLevel="0" collapsed="false">
      <c r="A7" s="4" t="s">
        <v>201</v>
      </c>
      <c r="B7" s="4" t="s">
        <v>202</v>
      </c>
      <c r="C7" s="4" t="s">
        <v>203</v>
      </c>
      <c r="D7" s="4" t="s">
        <v>204</v>
      </c>
      <c r="E7" s="4" t="s">
        <v>30</v>
      </c>
      <c r="F7" s="15" t="s">
        <v>205</v>
      </c>
      <c r="G7" s="10" t="n">
        <v>-30</v>
      </c>
      <c r="H7" s="10" t="n">
        <v>-28</v>
      </c>
      <c r="I7" s="16" t="n">
        <f aca="false">IF(OR(LEFT($B7,2)="P0",$H7&lt;=$G$3),$H7,IF(LEFT($B7,2)="P9",$H7-$E$3+$C$3,ROUND($H7*$C$3/$E$3,0)))</f>
        <v>-28</v>
      </c>
      <c r="J7" s="4"/>
      <c r="K7" s="4"/>
      <c r="L7" s="4" t="s">
        <v>206</v>
      </c>
      <c r="M7" s="11" t="str">
        <f aca="false">IF(AND($G7&lt;=M$5,$H7&gt;=M$4),"■","")</f>
        <v>■</v>
      </c>
      <c r="N7" s="11" t="str">
        <f aca="false">IF(AND($G7&lt;=N$5,$H7&gt;=N$4),"■","")</f>
        <v/>
      </c>
      <c r="O7" s="11" t="str">
        <f aca="false">IF(AND($G7&lt;=O$5,$H7&gt;=O$4),"■","")</f>
        <v/>
      </c>
      <c r="P7" s="11" t="str">
        <f aca="false">IF(AND($G7&lt;=P$5,$H7&gt;=P$4),"■","")</f>
        <v/>
      </c>
      <c r="Q7" s="11" t="str">
        <f aca="false">IF(AND($G7&lt;=Q$5,$H7&gt;=Q$4),"■","")</f>
        <v/>
      </c>
      <c r="R7" s="11" t="str">
        <f aca="false">IF(AND($G7&lt;=R$5,$H7&gt;=R$4),"■","")</f>
        <v/>
      </c>
      <c r="S7" s="11" t="str">
        <f aca="false">IF(AND($G7&lt;=S$5,$H7&gt;=S$4),"■","")</f>
        <v/>
      </c>
      <c r="T7" s="11" t="str">
        <f aca="false">IF(AND($G7&lt;=T$5,$H7&gt;=T$4),"■","")</f>
        <v/>
      </c>
      <c r="U7" s="11" t="str">
        <f aca="false">IF(AND($G7&lt;=U$5,$H7&gt;=U$4),"■","")</f>
        <v/>
      </c>
      <c r="V7" s="11" t="str">
        <f aca="false">IF(AND($G7&lt;=V$5,$H7&gt;=V$4),"■","")</f>
        <v/>
      </c>
      <c r="W7" s="11" t="str">
        <f aca="false">IF(AND($G7&lt;=W$5,$H7&gt;=W$4),"■","")</f>
        <v/>
      </c>
      <c r="X7" s="11" t="str">
        <f aca="false">IF(AND($G7&lt;=X$5,$H7&gt;=X$4),"■","")</f>
        <v/>
      </c>
      <c r="Y7" s="11" t="str">
        <f aca="false">IF(AND($G7&lt;=Y$5,$H7&gt;=Y$4),"■","")</f>
        <v/>
      </c>
      <c r="Z7" s="11" t="str">
        <f aca="false">IF(AND($G7&lt;=Z$5,$H7&gt;=Z$4),"■","")</f>
        <v/>
      </c>
      <c r="AA7" s="11" t="str">
        <f aca="false">IF(AND($G7&lt;=AA$5,$H7&gt;=AA$4),"■","")</f>
        <v/>
      </c>
    </row>
    <row r="8" customFormat="false" ht="23.85" hidden="false" customHeight="false" outlineLevel="0" collapsed="false">
      <c r="A8" s="4" t="s">
        <v>207</v>
      </c>
      <c r="B8" s="4" t="s">
        <v>202</v>
      </c>
      <c r="C8" s="4" t="s">
        <v>208</v>
      </c>
      <c r="D8" s="4" t="s">
        <v>209</v>
      </c>
      <c r="E8" s="4" t="s">
        <v>30</v>
      </c>
      <c r="F8" s="15" t="s">
        <v>205</v>
      </c>
      <c r="G8" s="10" t="n">
        <v>-25</v>
      </c>
      <c r="H8" s="10" t="n">
        <v>-21</v>
      </c>
      <c r="I8" s="16" t="n">
        <f aca="false">IF(OR(LEFT($B8,2)="P0",$H8&lt;=$G$3),$H8,IF(LEFT($B8,2)="P9",$H8-$E$3+$C$3,ROUND($H8*$C$3/$E$3,0)))</f>
        <v>-21</v>
      </c>
      <c r="J8" s="4"/>
      <c r="K8" s="4" t="s">
        <v>201</v>
      </c>
      <c r="L8" s="4" t="s">
        <v>210</v>
      </c>
      <c r="M8" s="11" t="str">
        <f aca="false">IF(AND($G8&lt;=M$5,$H8&gt;=M$4),"■","")</f>
        <v>■</v>
      </c>
      <c r="N8" s="11" t="str">
        <f aca="false">IF(AND($G8&lt;=N$5,$H8&gt;=N$4),"■","")</f>
        <v/>
      </c>
      <c r="O8" s="11" t="str">
        <f aca="false">IF(AND($G8&lt;=O$5,$H8&gt;=O$4),"■","")</f>
        <v/>
      </c>
      <c r="P8" s="11" t="str">
        <f aca="false">IF(AND($G8&lt;=P$5,$H8&gt;=P$4),"■","")</f>
        <v/>
      </c>
      <c r="Q8" s="11" t="str">
        <f aca="false">IF(AND($G8&lt;=Q$5,$H8&gt;=Q$4),"■","")</f>
        <v/>
      </c>
      <c r="R8" s="11" t="str">
        <f aca="false">IF(AND($G8&lt;=R$5,$H8&gt;=R$4),"■","")</f>
        <v/>
      </c>
      <c r="S8" s="11" t="str">
        <f aca="false">IF(AND($G8&lt;=S$5,$H8&gt;=S$4),"■","")</f>
        <v/>
      </c>
      <c r="T8" s="11" t="str">
        <f aca="false">IF(AND($G8&lt;=T$5,$H8&gt;=T$4),"■","")</f>
        <v/>
      </c>
      <c r="U8" s="11" t="str">
        <f aca="false">IF(AND($G8&lt;=U$5,$H8&gt;=U$4),"■","")</f>
        <v/>
      </c>
      <c r="V8" s="11" t="str">
        <f aca="false">IF(AND($G8&lt;=V$5,$H8&gt;=V$4),"■","")</f>
        <v/>
      </c>
      <c r="W8" s="11" t="str">
        <f aca="false">IF(AND($G8&lt;=W$5,$H8&gt;=W$4),"■","")</f>
        <v/>
      </c>
      <c r="X8" s="11" t="str">
        <f aca="false">IF(AND($G8&lt;=X$5,$H8&gt;=X$4),"■","")</f>
        <v/>
      </c>
      <c r="Y8" s="11" t="str">
        <f aca="false">IF(AND($G8&lt;=Y$5,$H8&gt;=Y$4),"■","")</f>
        <v/>
      </c>
      <c r="Z8" s="11" t="str">
        <f aca="false">IF(AND($G8&lt;=Z$5,$H8&gt;=Z$4),"■","")</f>
        <v/>
      </c>
      <c r="AA8" s="11" t="str">
        <f aca="false">IF(AND($G8&lt;=AA$5,$H8&gt;=AA$4),"■","")</f>
        <v/>
      </c>
    </row>
    <row r="9" customFormat="false" ht="23.85" hidden="false" customHeight="false" outlineLevel="0" collapsed="false">
      <c r="A9" s="4" t="s">
        <v>211</v>
      </c>
      <c r="B9" s="4" t="s">
        <v>202</v>
      </c>
      <c r="C9" s="4" t="s">
        <v>212</v>
      </c>
      <c r="D9" s="4" t="s">
        <v>213</v>
      </c>
      <c r="E9" s="4" t="s">
        <v>30</v>
      </c>
      <c r="F9" s="15" t="s">
        <v>205</v>
      </c>
      <c r="G9" s="10" t="n">
        <v>-25</v>
      </c>
      <c r="H9" s="10" t="n">
        <v>-21</v>
      </c>
      <c r="I9" s="16" t="n">
        <f aca="false">IF(OR(LEFT($B9,2)="P0",$H9&lt;=$G$3),$H9,IF(LEFT($B9,2)="P9",$H9-$E$3+$C$3,ROUND($H9*$C$3/$E$3,0)))</f>
        <v>-21</v>
      </c>
      <c r="J9" s="4"/>
      <c r="K9" s="4" t="s">
        <v>207</v>
      </c>
      <c r="L9" s="4" t="s">
        <v>214</v>
      </c>
      <c r="M9" s="11" t="str">
        <f aca="false">IF(AND($G9&lt;=M$5,$H9&gt;=M$4),"■","")</f>
        <v>■</v>
      </c>
      <c r="N9" s="11" t="str">
        <f aca="false">IF(AND($G9&lt;=N$5,$H9&gt;=N$4),"■","")</f>
        <v/>
      </c>
      <c r="O9" s="11" t="str">
        <f aca="false">IF(AND($G9&lt;=O$5,$H9&gt;=O$4),"■","")</f>
        <v/>
      </c>
      <c r="P9" s="11" t="str">
        <f aca="false">IF(AND($G9&lt;=P$5,$H9&gt;=P$4),"■","")</f>
        <v/>
      </c>
      <c r="Q9" s="11" t="str">
        <f aca="false">IF(AND($G9&lt;=Q$5,$H9&gt;=Q$4),"■","")</f>
        <v/>
      </c>
      <c r="R9" s="11" t="str">
        <f aca="false">IF(AND($G9&lt;=R$5,$H9&gt;=R$4),"■","")</f>
        <v/>
      </c>
      <c r="S9" s="11" t="str">
        <f aca="false">IF(AND($G9&lt;=S$5,$H9&gt;=S$4),"■","")</f>
        <v/>
      </c>
      <c r="T9" s="11" t="str">
        <f aca="false">IF(AND($G9&lt;=T$5,$H9&gt;=T$4),"■","")</f>
        <v/>
      </c>
      <c r="U9" s="11" t="str">
        <f aca="false">IF(AND($G9&lt;=U$5,$H9&gt;=U$4),"■","")</f>
        <v/>
      </c>
      <c r="V9" s="11" t="str">
        <f aca="false">IF(AND($G9&lt;=V$5,$H9&gt;=V$4),"■","")</f>
        <v/>
      </c>
      <c r="W9" s="11" t="str">
        <f aca="false">IF(AND($G9&lt;=W$5,$H9&gt;=W$4),"■","")</f>
        <v/>
      </c>
      <c r="X9" s="11" t="str">
        <f aca="false">IF(AND($G9&lt;=X$5,$H9&gt;=X$4),"■","")</f>
        <v/>
      </c>
      <c r="Y9" s="11" t="str">
        <f aca="false">IF(AND($G9&lt;=Y$5,$H9&gt;=Y$4),"■","")</f>
        <v/>
      </c>
      <c r="Z9" s="11" t="str">
        <f aca="false">IF(AND($G9&lt;=Z$5,$H9&gt;=Z$4),"■","")</f>
        <v/>
      </c>
      <c r="AA9" s="11" t="str">
        <f aca="false">IF(AND($G9&lt;=AA$5,$H9&gt;=AA$4),"■","")</f>
        <v/>
      </c>
    </row>
    <row r="10" customFormat="false" ht="23.85" hidden="false" customHeight="false" outlineLevel="0" collapsed="false">
      <c r="A10" s="4" t="s">
        <v>215</v>
      </c>
      <c r="B10" s="4" t="s">
        <v>202</v>
      </c>
      <c r="C10" s="4" t="s">
        <v>216</v>
      </c>
      <c r="D10" s="4" t="s">
        <v>217</v>
      </c>
      <c r="E10" s="4" t="s">
        <v>36</v>
      </c>
      <c r="F10" s="15" t="s">
        <v>218</v>
      </c>
      <c r="G10" s="10" t="n">
        <v>-21</v>
      </c>
      <c r="H10" s="10" t="n">
        <v>-14</v>
      </c>
      <c r="I10" s="16" t="n">
        <f aca="false">IF(OR(LEFT($B10,2)="P0",$H10&lt;=$G$3),$H10,IF(LEFT($B10,2)="P9",$H10-$E$3+$C$3,ROUND($H10*$C$3/$E$3,0)))</f>
        <v>-14</v>
      </c>
      <c r="J10" s="4"/>
      <c r="K10" s="4" t="s">
        <v>207</v>
      </c>
      <c r="L10" s="4" t="s">
        <v>219</v>
      </c>
      <c r="M10" s="11" t="str">
        <f aca="false">IF(AND($G10&lt;=M$5,$H10&gt;=M$4),"■","")</f>
        <v>■</v>
      </c>
      <c r="N10" s="11" t="str">
        <f aca="false">IF(AND($G10&lt;=N$5,$H10&gt;=N$4),"■","")</f>
        <v/>
      </c>
      <c r="O10" s="11" t="str">
        <f aca="false">IF(AND($G10&lt;=O$5,$H10&gt;=O$4),"■","")</f>
        <v/>
      </c>
      <c r="P10" s="11" t="str">
        <f aca="false">IF(AND($G10&lt;=P$5,$H10&gt;=P$4),"■","")</f>
        <v/>
      </c>
      <c r="Q10" s="11" t="str">
        <f aca="false">IF(AND($G10&lt;=Q$5,$H10&gt;=Q$4),"■","")</f>
        <v/>
      </c>
      <c r="R10" s="11" t="str">
        <f aca="false">IF(AND($G10&lt;=R$5,$H10&gt;=R$4),"■","")</f>
        <v/>
      </c>
      <c r="S10" s="11" t="str">
        <f aca="false">IF(AND($G10&lt;=S$5,$H10&gt;=S$4),"■","")</f>
        <v/>
      </c>
      <c r="T10" s="11" t="str">
        <f aca="false">IF(AND($G10&lt;=T$5,$H10&gt;=T$4),"■","")</f>
        <v/>
      </c>
      <c r="U10" s="11" t="str">
        <f aca="false">IF(AND($G10&lt;=U$5,$H10&gt;=U$4),"■","")</f>
        <v/>
      </c>
      <c r="V10" s="11" t="str">
        <f aca="false">IF(AND($G10&lt;=V$5,$H10&gt;=V$4),"■","")</f>
        <v/>
      </c>
      <c r="W10" s="11" t="str">
        <f aca="false">IF(AND($G10&lt;=W$5,$H10&gt;=W$4),"■","")</f>
        <v/>
      </c>
      <c r="X10" s="11" t="str">
        <f aca="false">IF(AND($G10&lt;=X$5,$H10&gt;=X$4),"■","")</f>
        <v/>
      </c>
      <c r="Y10" s="11" t="str">
        <f aca="false">IF(AND($G10&lt;=Y$5,$H10&gt;=Y$4),"■","")</f>
        <v/>
      </c>
      <c r="Z10" s="11" t="str">
        <f aca="false">IF(AND($G10&lt;=Z$5,$H10&gt;=Z$4),"■","")</f>
        <v/>
      </c>
      <c r="AA10" s="11" t="str">
        <f aca="false">IF(AND($G10&lt;=AA$5,$H10&gt;=AA$4),"■","")</f>
        <v/>
      </c>
    </row>
    <row r="11" customFormat="false" ht="23.85" hidden="false" customHeight="false" outlineLevel="0" collapsed="false">
      <c r="A11" s="4" t="s">
        <v>220</v>
      </c>
      <c r="B11" s="4" t="s">
        <v>202</v>
      </c>
      <c r="C11" s="4" t="s">
        <v>221</v>
      </c>
      <c r="D11" s="4" t="s">
        <v>222</v>
      </c>
      <c r="E11" s="4" t="s">
        <v>30</v>
      </c>
      <c r="F11" s="15" t="s">
        <v>205</v>
      </c>
      <c r="G11" s="10" t="n">
        <v>-14</v>
      </c>
      <c r="H11" s="10" t="n">
        <v>-10</v>
      </c>
      <c r="I11" s="16" t="n">
        <f aca="false">IF(OR(LEFT($B11,2)="P0",$H11&lt;=$G$3),$H11,IF(LEFT($B11,2)="P9",$H11-$E$3+$C$3,ROUND($H11*$C$3/$E$3,0)))</f>
        <v>-10</v>
      </c>
      <c r="J11" s="4"/>
      <c r="K11" s="4" t="s">
        <v>215</v>
      </c>
      <c r="L11" s="4" t="s">
        <v>223</v>
      </c>
      <c r="M11" s="11" t="str">
        <f aca="false">IF(AND($G11&lt;=M$5,$H11&gt;=M$4),"■","")</f>
        <v>■</v>
      </c>
      <c r="N11" s="11" t="str">
        <f aca="false">IF(AND($G11&lt;=N$5,$H11&gt;=N$4),"■","")</f>
        <v/>
      </c>
      <c r="O11" s="11" t="str">
        <f aca="false">IF(AND($G11&lt;=O$5,$H11&gt;=O$4),"■","")</f>
        <v/>
      </c>
      <c r="P11" s="11" t="str">
        <f aca="false">IF(AND($G11&lt;=P$5,$H11&gt;=P$4),"■","")</f>
        <v/>
      </c>
      <c r="Q11" s="11" t="str">
        <f aca="false">IF(AND($G11&lt;=Q$5,$H11&gt;=Q$4),"■","")</f>
        <v/>
      </c>
      <c r="R11" s="11" t="str">
        <f aca="false">IF(AND($G11&lt;=R$5,$H11&gt;=R$4),"■","")</f>
        <v/>
      </c>
      <c r="S11" s="11" t="str">
        <f aca="false">IF(AND($G11&lt;=S$5,$H11&gt;=S$4),"■","")</f>
        <v/>
      </c>
      <c r="T11" s="11" t="str">
        <f aca="false">IF(AND($G11&lt;=T$5,$H11&gt;=T$4),"■","")</f>
        <v/>
      </c>
      <c r="U11" s="11" t="str">
        <f aca="false">IF(AND($G11&lt;=U$5,$H11&gt;=U$4),"■","")</f>
        <v/>
      </c>
      <c r="V11" s="11" t="str">
        <f aca="false">IF(AND($G11&lt;=V$5,$H11&gt;=V$4),"■","")</f>
        <v/>
      </c>
      <c r="W11" s="11" t="str">
        <f aca="false">IF(AND($G11&lt;=W$5,$H11&gt;=W$4),"■","")</f>
        <v/>
      </c>
      <c r="X11" s="11" t="str">
        <f aca="false">IF(AND($G11&lt;=X$5,$H11&gt;=X$4),"■","")</f>
        <v/>
      </c>
      <c r="Y11" s="11" t="str">
        <f aca="false">IF(AND($G11&lt;=Y$5,$H11&gt;=Y$4),"■","")</f>
        <v/>
      </c>
      <c r="Z11" s="11" t="str">
        <f aca="false">IF(AND($G11&lt;=Z$5,$H11&gt;=Z$4),"■","")</f>
        <v/>
      </c>
      <c r="AA11" s="11" t="str">
        <f aca="false">IF(AND($G11&lt;=AA$5,$H11&gt;=AA$4),"■","")</f>
        <v/>
      </c>
    </row>
    <row r="12" customFormat="false" ht="23.85" hidden="false" customHeight="false" outlineLevel="0" collapsed="false">
      <c r="A12" s="4" t="s">
        <v>224</v>
      </c>
      <c r="B12" s="4" t="s">
        <v>202</v>
      </c>
      <c r="C12" s="4" t="s">
        <v>225</v>
      </c>
      <c r="D12" s="4" t="s">
        <v>226</v>
      </c>
      <c r="E12" s="4" t="s">
        <v>30</v>
      </c>
      <c r="F12" s="15" t="s">
        <v>205</v>
      </c>
      <c r="G12" s="10" t="n">
        <v>-14</v>
      </c>
      <c r="H12" s="10" t="n">
        <v>-7</v>
      </c>
      <c r="I12" s="16" t="n">
        <f aca="false">IF(OR(LEFT($B12,2)="P0",$H12&lt;=$G$3),$H12,IF(LEFT($B12,2)="P9",$H12-$E$3+$C$3,ROUND($H12*$C$3/$E$3,0)))</f>
        <v>-7</v>
      </c>
      <c r="J12" s="4"/>
      <c r="K12" s="4" t="s">
        <v>220</v>
      </c>
      <c r="L12" s="4" t="s">
        <v>206</v>
      </c>
      <c r="M12" s="11" t="str">
        <f aca="false">IF(AND($G12&lt;=M$5,$H12&gt;=M$4),"■","")</f>
        <v>■</v>
      </c>
      <c r="N12" s="11" t="str">
        <f aca="false">IF(AND($G12&lt;=N$5,$H12&gt;=N$4),"■","")</f>
        <v/>
      </c>
      <c r="O12" s="11" t="str">
        <f aca="false">IF(AND($G12&lt;=O$5,$H12&gt;=O$4),"■","")</f>
        <v/>
      </c>
      <c r="P12" s="11" t="str">
        <f aca="false">IF(AND($G12&lt;=P$5,$H12&gt;=P$4),"■","")</f>
        <v/>
      </c>
      <c r="Q12" s="11" t="str">
        <f aca="false">IF(AND($G12&lt;=Q$5,$H12&gt;=Q$4),"■","")</f>
        <v/>
      </c>
      <c r="R12" s="11" t="str">
        <f aca="false">IF(AND($G12&lt;=R$5,$H12&gt;=R$4),"■","")</f>
        <v/>
      </c>
      <c r="S12" s="11" t="str">
        <f aca="false">IF(AND($G12&lt;=S$5,$H12&gt;=S$4),"■","")</f>
        <v/>
      </c>
      <c r="T12" s="11" t="str">
        <f aca="false">IF(AND($G12&lt;=T$5,$H12&gt;=T$4),"■","")</f>
        <v/>
      </c>
      <c r="U12" s="11" t="str">
        <f aca="false">IF(AND($G12&lt;=U$5,$H12&gt;=U$4),"■","")</f>
        <v/>
      </c>
      <c r="V12" s="11" t="str">
        <f aca="false">IF(AND($G12&lt;=V$5,$H12&gt;=V$4),"■","")</f>
        <v/>
      </c>
      <c r="W12" s="11" t="str">
        <f aca="false">IF(AND($G12&lt;=W$5,$H12&gt;=W$4),"■","")</f>
        <v/>
      </c>
      <c r="X12" s="11" t="str">
        <f aca="false">IF(AND($G12&lt;=X$5,$H12&gt;=X$4),"■","")</f>
        <v/>
      </c>
      <c r="Y12" s="11" t="str">
        <f aca="false">IF(AND($G12&lt;=Y$5,$H12&gt;=Y$4),"■","")</f>
        <v/>
      </c>
      <c r="Z12" s="11" t="str">
        <f aca="false">IF(AND($G12&lt;=Z$5,$H12&gt;=Z$4),"■","")</f>
        <v/>
      </c>
      <c r="AA12" s="11" t="str">
        <f aca="false">IF(AND($G12&lt;=AA$5,$H12&gt;=AA$4),"■","")</f>
        <v/>
      </c>
    </row>
    <row r="13" customFormat="false" ht="23.85" hidden="false" customHeight="false" outlineLevel="0" collapsed="false">
      <c r="A13" s="4" t="s">
        <v>227</v>
      </c>
      <c r="B13" s="4" t="s">
        <v>202</v>
      </c>
      <c r="C13" s="4" t="s">
        <v>228</v>
      </c>
      <c r="D13" s="4" t="s">
        <v>229</v>
      </c>
      <c r="E13" s="4" t="s">
        <v>30</v>
      </c>
      <c r="F13" s="15" t="s">
        <v>218</v>
      </c>
      <c r="G13" s="10" t="n">
        <v>-10</v>
      </c>
      <c r="H13" s="10" t="n">
        <v>-3</v>
      </c>
      <c r="I13" s="16" t="n">
        <f aca="false">IF(OR(LEFT($B13,2)="P0",$H13&lt;=$G$3),$H13,IF(LEFT($B13,2)="P9",$H13-$E$3+$C$3,ROUND($H13*$C$3/$E$3,0)))</f>
        <v>-3</v>
      </c>
      <c r="J13" s="4"/>
      <c r="K13" s="4" t="s">
        <v>220</v>
      </c>
      <c r="L13" s="4" t="s">
        <v>230</v>
      </c>
      <c r="M13" s="11" t="str">
        <f aca="false">IF(AND($G13&lt;=M$5,$H13&gt;=M$4),"■","")</f>
        <v>■</v>
      </c>
      <c r="N13" s="11" t="str">
        <f aca="false">IF(AND($G13&lt;=N$5,$H13&gt;=N$4),"■","")</f>
        <v/>
      </c>
      <c r="O13" s="11" t="str">
        <f aca="false">IF(AND($G13&lt;=O$5,$H13&gt;=O$4),"■","")</f>
        <v/>
      </c>
      <c r="P13" s="11" t="str">
        <f aca="false">IF(AND($G13&lt;=P$5,$H13&gt;=P$4),"■","")</f>
        <v/>
      </c>
      <c r="Q13" s="11" t="str">
        <f aca="false">IF(AND($G13&lt;=Q$5,$H13&gt;=Q$4),"■","")</f>
        <v/>
      </c>
      <c r="R13" s="11" t="str">
        <f aca="false">IF(AND($G13&lt;=R$5,$H13&gt;=R$4),"■","")</f>
        <v/>
      </c>
      <c r="S13" s="11" t="str">
        <f aca="false">IF(AND($G13&lt;=S$5,$H13&gt;=S$4),"■","")</f>
        <v/>
      </c>
      <c r="T13" s="11" t="str">
        <f aca="false">IF(AND($G13&lt;=T$5,$H13&gt;=T$4),"■","")</f>
        <v/>
      </c>
      <c r="U13" s="11" t="str">
        <f aca="false">IF(AND($G13&lt;=U$5,$H13&gt;=U$4),"■","")</f>
        <v/>
      </c>
      <c r="V13" s="11" t="str">
        <f aca="false">IF(AND($G13&lt;=V$5,$H13&gt;=V$4),"■","")</f>
        <v/>
      </c>
      <c r="W13" s="11" t="str">
        <f aca="false">IF(AND($G13&lt;=W$5,$H13&gt;=W$4),"■","")</f>
        <v/>
      </c>
      <c r="X13" s="11" t="str">
        <f aca="false">IF(AND($G13&lt;=X$5,$H13&gt;=X$4),"■","")</f>
        <v/>
      </c>
      <c r="Y13" s="11" t="str">
        <f aca="false">IF(AND($G13&lt;=Y$5,$H13&gt;=Y$4),"■","")</f>
        <v/>
      </c>
      <c r="Z13" s="11" t="str">
        <f aca="false">IF(AND($G13&lt;=Z$5,$H13&gt;=Z$4),"■","")</f>
        <v/>
      </c>
      <c r="AA13" s="11" t="str">
        <f aca="false">IF(AND($G13&lt;=AA$5,$H13&gt;=AA$4),"■","")</f>
        <v/>
      </c>
    </row>
    <row r="14" customFormat="false" ht="46.25" hidden="false" customHeight="false" outlineLevel="0" collapsed="false">
      <c r="A14" s="4" t="s">
        <v>231</v>
      </c>
      <c r="B14" s="4" t="s">
        <v>202</v>
      </c>
      <c r="C14" s="4" t="s">
        <v>232</v>
      </c>
      <c r="D14" s="4" t="s">
        <v>233</v>
      </c>
      <c r="E14" s="4" t="s">
        <v>36</v>
      </c>
      <c r="F14" s="15" t="s">
        <v>218</v>
      </c>
      <c r="G14" s="10" t="n">
        <v>-5</v>
      </c>
      <c r="H14" s="10" t="n">
        <v>0</v>
      </c>
      <c r="I14" s="16" t="n">
        <f aca="false">IF(OR(LEFT($B14,2)="P0",$H14&lt;=$G$3),$H14,IF(LEFT($B14,2)="P9",$H14-$E$3+$C$3,ROUND($H14*$C$3/$E$3,0)))</f>
        <v>0</v>
      </c>
      <c r="J14" s="4"/>
      <c r="K14" s="4" t="s">
        <v>227</v>
      </c>
      <c r="L14" s="4" t="s">
        <v>234</v>
      </c>
      <c r="M14" s="11" t="str">
        <f aca="false">IF(AND($G14&lt;=M$5,$H14&gt;=M$4),"■","")</f>
        <v>■</v>
      </c>
      <c r="N14" s="11" t="str">
        <f aca="false">IF(AND($G14&lt;=N$5,$H14&gt;=N$4),"■","")</f>
        <v>■</v>
      </c>
      <c r="O14" s="11" t="str">
        <f aca="false">IF(AND($G14&lt;=O$5,$H14&gt;=O$4),"■","")</f>
        <v/>
      </c>
      <c r="P14" s="11" t="str">
        <f aca="false">IF(AND($G14&lt;=P$5,$H14&gt;=P$4),"■","")</f>
        <v/>
      </c>
      <c r="Q14" s="11" t="str">
        <f aca="false">IF(AND($G14&lt;=Q$5,$H14&gt;=Q$4),"■","")</f>
        <v/>
      </c>
      <c r="R14" s="11" t="str">
        <f aca="false">IF(AND($G14&lt;=R$5,$H14&gt;=R$4),"■","")</f>
        <v/>
      </c>
      <c r="S14" s="11" t="str">
        <f aca="false">IF(AND($G14&lt;=S$5,$H14&gt;=S$4),"■","")</f>
        <v/>
      </c>
      <c r="T14" s="11" t="str">
        <f aca="false">IF(AND($G14&lt;=T$5,$H14&gt;=T$4),"■","")</f>
        <v/>
      </c>
      <c r="U14" s="11" t="str">
        <f aca="false">IF(AND($G14&lt;=U$5,$H14&gt;=U$4),"■","")</f>
        <v/>
      </c>
      <c r="V14" s="11" t="str">
        <f aca="false">IF(AND($G14&lt;=V$5,$H14&gt;=V$4),"■","")</f>
        <v/>
      </c>
      <c r="W14" s="11" t="str">
        <f aca="false">IF(AND($G14&lt;=W$5,$H14&gt;=W$4),"■","")</f>
        <v/>
      </c>
      <c r="X14" s="11" t="str">
        <f aca="false">IF(AND($G14&lt;=X$5,$H14&gt;=X$4),"■","")</f>
        <v/>
      </c>
      <c r="Y14" s="11" t="str">
        <f aca="false">IF(AND($G14&lt;=Y$5,$H14&gt;=Y$4),"■","")</f>
        <v/>
      </c>
      <c r="Z14" s="11" t="str">
        <f aca="false">IF(AND($G14&lt;=Z$5,$H14&gt;=Z$4),"■","")</f>
        <v/>
      </c>
      <c r="AA14" s="11" t="str">
        <f aca="false">IF(AND($G14&lt;=AA$5,$H14&gt;=AA$4),"■","")</f>
        <v/>
      </c>
    </row>
    <row r="15" customFormat="false" ht="23.85" hidden="false" customHeight="false" outlineLevel="0" collapsed="false">
      <c r="A15" s="4" t="s">
        <v>235</v>
      </c>
      <c r="B15" s="4" t="s">
        <v>236</v>
      </c>
      <c r="C15" s="4" t="s">
        <v>237</v>
      </c>
      <c r="D15" s="4" t="s">
        <v>238</v>
      </c>
      <c r="E15" s="4" t="s">
        <v>30</v>
      </c>
      <c r="F15" s="15" t="s">
        <v>205</v>
      </c>
      <c r="G15" s="10" t="n">
        <v>0</v>
      </c>
      <c r="H15" s="10" t="n">
        <v>1</v>
      </c>
      <c r="I15" s="16" t="n">
        <f aca="false">IF(OR(LEFT($B15,2)="P0",$H15&lt;=$G$3),$H15,IF(LEFT($B15,2)="P9",$H15-$E$3+$C$3,ROUND($H15*$C$3/$E$3,0)))</f>
        <v>1</v>
      </c>
      <c r="J15" s="4"/>
      <c r="K15" s="4" t="s">
        <v>231</v>
      </c>
      <c r="L15" s="4" t="s">
        <v>239</v>
      </c>
      <c r="M15" s="11" t="str">
        <f aca="false">IF(AND($G15&lt;=M$5,$H15&gt;=M$4),"■","")</f>
        <v/>
      </c>
      <c r="N15" s="11" t="str">
        <f aca="false">IF(AND($G15&lt;=N$5,$H15&gt;=N$4),"■","")</f>
        <v>■</v>
      </c>
      <c r="O15" s="11" t="str">
        <f aca="false">IF(AND($G15&lt;=O$5,$H15&gt;=O$4),"■","")</f>
        <v/>
      </c>
      <c r="P15" s="11" t="str">
        <f aca="false">IF(AND($G15&lt;=P$5,$H15&gt;=P$4),"■","")</f>
        <v/>
      </c>
      <c r="Q15" s="11" t="str">
        <f aca="false">IF(AND($G15&lt;=Q$5,$H15&gt;=Q$4),"■","")</f>
        <v/>
      </c>
      <c r="R15" s="11" t="str">
        <f aca="false">IF(AND($G15&lt;=R$5,$H15&gt;=R$4),"■","")</f>
        <v/>
      </c>
      <c r="S15" s="11" t="str">
        <f aca="false">IF(AND($G15&lt;=S$5,$H15&gt;=S$4),"■","")</f>
        <v/>
      </c>
      <c r="T15" s="11" t="str">
        <f aca="false">IF(AND($G15&lt;=T$5,$H15&gt;=T$4),"■","")</f>
        <v/>
      </c>
      <c r="U15" s="11" t="str">
        <f aca="false">IF(AND($G15&lt;=U$5,$H15&gt;=U$4),"■","")</f>
        <v/>
      </c>
      <c r="V15" s="11" t="str">
        <f aca="false">IF(AND($G15&lt;=V$5,$H15&gt;=V$4),"■","")</f>
        <v/>
      </c>
      <c r="W15" s="11" t="str">
        <f aca="false">IF(AND($G15&lt;=W$5,$H15&gt;=W$4),"■","")</f>
        <v/>
      </c>
      <c r="X15" s="11" t="str">
        <f aca="false">IF(AND($G15&lt;=X$5,$H15&gt;=X$4),"■","")</f>
        <v/>
      </c>
      <c r="Y15" s="11" t="str">
        <f aca="false">IF(AND($G15&lt;=Y$5,$H15&gt;=Y$4),"■","")</f>
        <v/>
      </c>
      <c r="Z15" s="11" t="str">
        <f aca="false">IF(AND($G15&lt;=Z$5,$H15&gt;=Z$4),"■","")</f>
        <v/>
      </c>
      <c r="AA15" s="11" t="str">
        <f aca="false">IF(AND($G15&lt;=AA$5,$H15&gt;=AA$4),"■","")</f>
        <v/>
      </c>
    </row>
    <row r="16" customFormat="false" ht="57.45" hidden="false" customHeight="false" outlineLevel="0" collapsed="false">
      <c r="A16" s="4" t="s">
        <v>240</v>
      </c>
      <c r="B16" s="4" t="s">
        <v>236</v>
      </c>
      <c r="C16" s="4" t="s">
        <v>241</v>
      </c>
      <c r="D16" s="4" t="s">
        <v>242</v>
      </c>
      <c r="E16" s="4" t="s">
        <v>34</v>
      </c>
      <c r="F16" s="15" t="s">
        <v>205</v>
      </c>
      <c r="G16" s="10" t="n">
        <v>0</v>
      </c>
      <c r="H16" s="10" t="n">
        <v>1</v>
      </c>
      <c r="I16" s="16" t="n">
        <f aca="false">IF(OR(LEFT($B16,2)="P0",$H16&lt;=$G$3),$H16,IF(LEFT($B16,2)="P9",$H16-$E$3+$C$3,ROUND($H16*$C$3/$E$3,0)))</f>
        <v>1</v>
      </c>
      <c r="J16" s="4"/>
      <c r="K16" s="4" t="s">
        <v>235</v>
      </c>
      <c r="L16" s="4" t="s">
        <v>243</v>
      </c>
      <c r="M16" s="11" t="str">
        <f aca="false">IF(AND($G16&lt;=M$5,$H16&gt;=M$4),"■","")</f>
        <v/>
      </c>
      <c r="N16" s="11" t="str">
        <f aca="false">IF(AND($G16&lt;=N$5,$H16&gt;=N$4),"■","")</f>
        <v>■</v>
      </c>
      <c r="O16" s="11" t="str">
        <f aca="false">IF(AND($G16&lt;=O$5,$H16&gt;=O$4),"■","")</f>
        <v/>
      </c>
      <c r="P16" s="11" t="str">
        <f aca="false">IF(AND($G16&lt;=P$5,$H16&gt;=P$4),"■","")</f>
        <v/>
      </c>
      <c r="Q16" s="11" t="str">
        <f aca="false">IF(AND($G16&lt;=Q$5,$H16&gt;=Q$4),"■","")</f>
        <v/>
      </c>
      <c r="R16" s="11" t="str">
        <f aca="false">IF(AND($G16&lt;=R$5,$H16&gt;=R$4),"■","")</f>
        <v/>
      </c>
      <c r="S16" s="11" t="str">
        <f aca="false">IF(AND($G16&lt;=S$5,$H16&gt;=S$4),"■","")</f>
        <v/>
      </c>
      <c r="T16" s="11" t="str">
        <f aca="false">IF(AND($G16&lt;=T$5,$H16&gt;=T$4),"■","")</f>
        <v/>
      </c>
      <c r="U16" s="11" t="str">
        <f aca="false">IF(AND($G16&lt;=U$5,$H16&gt;=U$4),"■","")</f>
        <v/>
      </c>
      <c r="V16" s="11" t="str">
        <f aca="false">IF(AND($G16&lt;=V$5,$H16&gt;=V$4),"■","")</f>
        <v/>
      </c>
      <c r="W16" s="11" t="str">
        <f aca="false">IF(AND($G16&lt;=W$5,$H16&gt;=W$4),"■","")</f>
        <v/>
      </c>
      <c r="X16" s="11" t="str">
        <f aca="false">IF(AND($G16&lt;=X$5,$H16&gt;=X$4),"■","")</f>
        <v/>
      </c>
      <c r="Y16" s="11" t="str">
        <f aca="false">IF(AND($G16&lt;=Y$5,$H16&gt;=Y$4),"■","")</f>
        <v/>
      </c>
      <c r="Z16" s="11" t="str">
        <f aca="false">IF(AND($G16&lt;=Z$5,$H16&gt;=Z$4),"■","")</f>
        <v/>
      </c>
      <c r="AA16" s="11" t="str">
        <f aca="false">IF(AND($G16&lt;=AA$5,$H16&gt;=AA$4),"■","")</f>
        <v/>
      </c>
    </row>
    <row r="17" customFormat="false" ht="23.85" hidden="false" customHeight="false" outlineLevel="0" collapsed="false">
      <c r="A17" s="4" t="s">
        <v>244</v>
      </c>
      <c r="B17" s="4" t="s">
        <v>236</v>
      </c>
      <c r="C17" s="4" t="s">
        <v>245</v>
      </c>
      <c r="D17" s="4" t="s">
        <v>246</v>
      </c>
      <c r="E17" s="4" t="s">
        <v>34</v>
      </c>
      <c r="F17" s="15" t="s">
        <v>218</v>
      </c>
      <c r="G17" s="10" t="n">
        <v>0</v>
      </c>
      <c r="H17" s="10" t="n">
        <v>0</v>
      </c>
      <c r="I17" s="16" t="n">
        <f aca="false">IF(OR(LEFT($B17,2)="P0",$H17&lt;=$G$3),$H17,IF(LEFT($B17,2)="P9",$H17-$E$3+$C$3,ROUND($H17*$C$3/$E$3,0)))</f>
        <v>0</v>
      </c>
      <c r="J17" s="4"/>
      <c r="K17" s="4" t="s">
        <v>231</v>
      </c>
      <c r="L17" s="4" t="s">
        <v>247</v>
      </c>
      <c r="M17" s="11" t="str">
        <f aca="false">IF(AND($G17&lt;=M$5,$H17&gt;=M$4),"■","")</f>
        <v/>
      </c>
      <c r="N17" s="11" t="str">
        <f aca="false">IF(AND($G17&lt;=N$5,$H17&gt;=N$4),"■","")</f>
        <v>■</v>
      </c>
      <c r="O17" s="11" t="str">
        <f aca="false">IF(AND($G17&lt;=O$5,$H17&gt;=O$4),"■","")</f>
        <v/>
      </c>
      <c r="P17" s="11" t="str">
        <f aca="false">IF(AND($G17&lt;=P$5,$H17&gt;=P$4),"■","")</f>
        <v/>
      </c>
      <c r="Q17" s="11" t="str">
        <f aca="false">IF(AND($G17&lt;=Q$5,$H17&gt;=Q$4),"■","")</f>
        <v/>
      </c>
      <c r="R17" s="11" t="str">
        <f aca="false">IF(AND($G17&lt;=R$5,$H17&gt;=R$4),"■","")</f>
        <v/>
      </c>
      <c r="S17" s="11" t="str">
        <f aca="false">IF(AND($G17&lt;=S$5,$H17&gt;=S$4),"■","")</f>
        <v/>
      </c>
      <c r="T17" s="11" t="str">
        <f aca="false">IF(AND($G17&lt;=T$5,$H17&gt;=T$4),"■","")</f>
        <v/>
      </c>
      <c r="U17" s="11" t="str">
        <f aca="false">IF(AND($G17&lt;=U$5,$H17&gt;=U$4),"■","")</f>
        <v/>
      </c>
      <c r="V17" s="11" t="str">
        <f aca="false">IF(AND($G17&lt;=V$5,$H17&gt;=V$4),"■","")</f>
        <v/>
      </c>
      <c r="W17" s="11" t="str">
        <f aca="false">IF(AND($G17&lt;=W$5,$H17&gt;=W$4),"■","")</f>
        <v/>
      </c>
      <c r="X17" s="11" t="str">
        <f aca="false">IF(AND($G17&lt;=X$5,$H17&gt;=X$4),"■","")</f>
        <v/>
      </c>
      <c r="Y17" s="11" t="str">
        <f aca="false">IF(AND($G17&lt;=Y$5,$H17&gt;=Y$4),"■","")</f>
        <v/>
      </c>
      <c r="Z17" s="11" t="str">
        <f aca="false">IF(AND($G17&lt;=Z$5,$H17&gt;=Z$4),"■","")</f>
        <v/>
      </c>
      <c r="AA17" s="11" t="str">
        <f aca="false">IF(AND($G17&lt;=AA$5,$H17&gt;=AA$4),"■","")</f>
        <v/>
      </c>
    </row>
    <row r="18" customFormat="false" ht="23.85" hidden="false" customHeight="false" outlineLevel="0" collapsed="false">
      <c r="A18" s="4" t="s">
        <v>248</v>
      </c>
      <c r="B18" s="4" t="s">
        <v>236</v>
      </c>
      <c r="C18" s="4" t="s">
        <v>249</v>
      </c>
      <c r="D18" s="4" t="s">
        <v>250</v>
      </c>
      <c r="E18" s="4" t="s">
        <v>34</v>
      </c>
      <c r="F18" s="15" t="s">
        <v>218</v>
      </c>
      <c r="G18" s="10" t="n">
        <v>0</v>
      </c>
      <c r="H18" s="10" t="n">
        <v>1</v>
      </c>
      <c r="I18" s="16" t="n">
        <f aca="false">IF(OR(LEFT($B18,2)="P0",$H18&lt;=$G$3),$H18,IF(LEFT($B18,2)="P9",$H18-$E$3+$C$3,ROUND($H18*$C$3/$E$3,0)))</f>
        <v>1</v>
      </c>
      <c r="J18" s="4"/>
      <c r="K18" s="4" t="s">
        <v>240</v>
      </c>
      <c r="L18" s="4" t="s">
        <v>251</v>
      </c>
      <c r="M18" s="11" t="str">
        <f aca="false">IF(AND($G18&lt;=M$5,$H18&gt;=M$4),"■","")</f>
        <v/>
      </c>
      <c r="N18" s="11" t="str">
        <f aca="false">IF(AND($G18&lt;=N$5,$H18&gt;=N$4),"■","")</f>
        <v>■</v>
      </c>
      <c r="O18" s="11" t="str">
        <f aca="false">IF(AND($G18&lt;=O$5,$H18&gt;=O$4),"■","")</f>
        <v/>
      </c>
      <c r="P18" s="11" t="str">
        <f aca="false">IF(AND($G18&lt;=P$5,$H18&gt;=P$4),"■","")</f>
        <v/>
      </c>
      <c r="Q18" s="11" t="str">
        <f aca="false">IF(AND($G18&lt;=Q$5,$H18&gt;=Q$4),"■","")</f>
        <v/>
      </c>
      <c r="R18" s="11" t="str">
        <f aca="false">IF(AND($G18&lt;=R$5,$H18&gt;=R$4),"■","")</f>
        <v/>
      </c>
      <c r="S18" s="11" t="str">
        <f aca="false">IF(AND($G18&lt;=S$5,$H18&gt;=S$4),"■","")</f>
        <v/>
      </c>
      <c r="T18" s="11" t="str">
        <f aca="false">IF(AND($G18&lt;=T$5,$H18&gt;=T$4),"■","")</f>
        <v/>
      </c>
      <c r="U18" s="11" t="str">
        <f aca="false">IF(AND($G18&lt;=U$5,$H18&gt;=U$4),"■","")</f>
        <v/>
      </c>
      <c r="V18" s="11" t="str">
        <f aca="false">IF(AND($G18&lt;=V$5,$H18&gt;=V$4),"■","")</f>
        <v/>
      </c>
      <c r="W18" s="11" t="str">
        <f aca="false">IF(AND($G18&lt;=W$5,$H18&gt;=W$4),"■","")</f>
        <v/>
      </c>
      <c r="X18" s="11" t="str">
        <f aca="false">IF(AND($G18&lt;=X$5,$H18&gt;=X$4),"■","")</f>
        <v/>
      </c>
      <c r="Y18" s="11" t="str">
        <f aca="false">IF(AND($G18&lt;=Y$5,$H18&gt;=Y$4),"■","")</f>
        <v/>
      </c>
      <c r="Z18" s="11" t="str">
        <f aca="false">IF(AND($G18&lt;=Z$5,$H18&gt;=Z$4),"■","")</f>
        <v/>
      </c>
      <c r="AA18" s="11" t="str">
        <f aca="false">IF(AND($G18&lt;=AA$5,$H18&gt;=AA$4),"■","")</f>
        <v/>
      </c>
    </row>
    <row r="19" customFormat="false" ht="46.25" hidden="false" customHeight="false" outlineLevel="0" collapsed="false">
      <c r="A19" s="4" t="s">
        <v>252</v>
      </c>
      <c r="B19" s="4" t="s">
        <v>236</v>
      </c>
      <c r="C19" s="4" t="s">
        <v>253</v>
      </c>
      <c r="D19" s="4" t="s">
        <v>254</v>
      </c>
      <c r="E19" s="4" t="s">
        <v>30</v>
      </c>
      <c r="F19" s="15" t="s">
        <v>205</v>
      </c>
      <c r="G19" s="10" t="n">
        <v>1</v>
      </c>
      <c r="H19" s="10" t="n">
        <v>3</v>
      </c>
      <c r="I19" s="16" t="n">
        <f aca="false">IF(OR(LEFT($B19,2)="P0",$H19&lt;=$G$3),$H19,IF(LEFT($B19,2)="P9",$H19-$E$3+$C$3,ROUND($H19*$C$3/$E$3,0)))</f>
        <v>3</v>
      </c>
      <c r="J19" s="4"/>
      <c r="K19" s="4" t="s">
        <v>235</v>
      </c>
      <c r="L19" s="4" t="s">
        <v>255</v>
      </c>
      <c r="M19" s="11" t="str">
        <f aca="false">IF(AND($G19&lt;=M$5,$H19&gt;=M$4),"■","")</f>
        <v/>
      </c>
      <c r="N19" s="11" t="str">
        <f aca="false">IF(AND($G19&lt;=N$5,$H19&gt;=N$4),"■","")</f>
        <v>■</v>
      </c>
      <c r="O19" s="11" t="str">
        <f aca="false">IF(AND($G19&lt;=O$5,$H19&gt;=O$4),"■","")</f>
        <v/>
      </c>
      <c r="P19" s="11" t="str">
        <f aca="false">IF(AND($G19&lt;=P$5,$H19&gt;=P$4),"■","")</f>
        <v/>
      </c>
      <c r="Q19" s="11" t="str">
        <f aca="false">IF(AND($G19&lt;=Q$5,$H19&gt;=Q$4),"■","")</f>
        <v/>
      </c>
      <c r="R19" s="11" t="str">
        <f aca="false">IF(AND($G19&lt;=R$5,$H19&gt;=R$4),"■","")</f>
        <v/>
      </c>
      <c r="S19" s="11" t="str">
        <f aca="false">IF(AND($G19&lt;=S$5,$H19&gt;=S$4),"■","")</f>
        <v/>
      </c>
      <c r="T19" s="11" t="str">
        <f aca="false">IF(AND($G19&lt;=T$5,$H19&gt;=T$4),"■","")</f>
        <v/>
      </c>
      <c r="U19" s="11" t="str">
        <f aca="false">IF(AND($G19&lt;=U$5,$H19&gt;=U$4),"■","")</f>
        <v/>
      </c>
      <c r="V19" s="11" t="str">
        <f aca="false">IF(AND($G19&lt;=V$5,$H19&gt;=V$4),"■","")</f>
        <v/>
      </c>
      <c r="W19" s="11" t="str">
        <f aca="false">IF(AND($G19&lt;=W$5,$H19&gt;=W$4),"■","")</f>
        <v/>
      </c>
      <c r="X19" s="11" t="str">
        <f aca="false">IF(AND($G19&lt;=X$5,$H19&gt;=X$4),"■","")</f>
        <v/>
      </c>
      <c r="Y19" s="11" t="str">
        <f aca="false">IF(AND($G19&lt;=Y$5,$H19&gt;=Y$4),"■","")</f>
        <v/>
      </c>
      <c r="Z19" s="11" t="str">
        <f aca="false">IF(AND($G19&lt;=Z$5,$H19&gt;=Z$4),"■","")</f>
        <v/>
      </c>
      <c r="AA19" s="11" t="str">
        <f aca="false">IF(AND($G19&lt;=AA$5,$H19&gt;=AA$4),"■","")</f>
        <v/>
      </c>
    </row>
    <row r="20" customFormat="false" ht="35.05" hidden="false" customHeight="false" outlineLevel="0" collapsed="false">
      <c r="A20" s="4" t="s">
        <v>256</v>
      </c>
      <c r="B20" s="4" t="s">
        <v>236</v>
      </c>
      <c r="C20" s="4" t="s">
        <v>257</v>
      </c>
      <c r="D20" s="4" t="s">
        <v>258</v>
      </c>
      <c r="E20" s="4" t="s">
        <v>32</v>
      </c>
      <c r="F20" s="15" t="s">
        <v>205</v>
      </c>
      <c r="G20" s="10" t="n">
        <v>1</v>
      </c>
      <c r="H20" s="10" t="n">
        <v>3</v>
      </c>
      <c r="I20" s="16" t="n">
        <f aca="false">IF(OR(LEFT($B20,2)="P0",$H20&lt;=$G$3),$H20,IF(LEFT($B20,2)="P9",$H20-$E$3+$C$3,ROUND($H20*$C$3/$E$3,0)))</f>
        <v>3</v>
      </c>
      <c r="J20" s="4"/>
      <c r="K20" s="4" t="s">
        <v>252</v>
      </c>
      <c r="L20" s="4" t="s">
        <v>259</v>
      </c>
      <c r="M20" s="11" t="str">
        <f aca="false">IF(AND($G20&lt;=M$5,$H20&gt;=M$4),"■","")</f>
        <v/>
      </c>
      <c r="N20" s="11" t="str">
        <f aca="false">IF(AND($G20&lt;=N$5,$H20&gt;=N$4),"■","")</f>
        <v>■</v>
      </c>
      <c r="O20" s="11" t="str">
        <f aca="false">IF(AND($G20&lt;=O$5,$H20&gt;=O$4),"■","")</f>
        <v/>
      </c>
      <c r="P20" s="11" t="str">
        <f aca="false">IF(AND($G20&lt;=P$5,$H20&gt;=P$4),"■","")</f>
        <v/>
      </c>
      <c r="Q20" s="11" t="str">
        <f aca="false">IF(AND($G20&lt;=Q$5,$H20&gt;=Q$4),"■","")</f>
        <v/>
      </c>
      <c r="R20" s="11" t="str">
        <f aca="false">IF(AND($G20&lt;=R$5,$H20&gt;=R$4),"■","")</f>
        <v/>
      </c>
      <c r="S20" s="11" t="str">
        <f aca="false">IF(AND($G20&lt;=S$5,$H20&gt;=S$4),"■","")</f>
        <v/>
      </c>
      <c r="T20" s="11" t="str">
        <f aca="false">IF(AND($G20&lt;=T$5,$H20&gt;=T$4),"■","")</f>
        <v/>
      </c>
      <c r="U20" s="11" t="str">
        <f aca="false">IF(AND($G20&lt;=U$5,$H20&gt;=U$4),"■","")</f>
        <v/>
      </c>
      <c r="V20" s="11" t="str">
        <f aca="false">IF(AND($G20&lt;=V$5,$H20&gt;=V$4),"■","")</f>
        <v/>
      </c>
      <c r="W20" s="11" t="str">
        <f aca="false">IF(AND($G20&lt;=W$5,$H20&gt;=W$4),"■","")</f>
        <v/>
      </c>
      <c r="X20" s="11" t="str">
        <f aca="false">IF(AND($G20&lt;=X$5,$H20&gt;=X$4),"■","")</f>
        <v/>
      </c>
      <c r="Y20" s="11" t="str">
        <f aca="false">IF(AND($G20&lt;=Y$5,$H20&gt;=Y$4),"■","")</f>
        <v/>
      </c>
      <c r="Z20" s="11" t="str">
        <f aca="false">IF(AND($G20&lt;=Z$5,$H20&gt;=Z$4),"■","")</f>
        <v/>
      </c>
      <c r="AA20" s="11" t="str">
        <f aca="false">IF(AND($G20&lt;=AA$5,$H20&gt;=AA$4),"■","")</f>
        <v/>
      </c>
    </row>
    <row r="21" customFormat="false" ht="23.85" hidden="false" customHeight="false" outlineLevel="0" collapsed="false">
      <c r="A21" s="4" t="s">
        <v>260</v>
      </c>
      <c r="B21" s="4" t="s">
        <v>236</v>
      </c>
      <c r="C21" s="4" t="s">
        <v>261</v>
      </c>
      <c r="D21" s="4" t="s">
        <v>262</v>
      </c>
      <c r="E21" s="4" t="s">
        <v>32</v>
      </c>
      <c r="F21" s="15" t="s">
        <v>218</v>
      </c>
      <c r="G21" s="10" t="n">
        <v>1</v>
      </c>
      <c r="H21" s="10" t="n">
        <v>2</v>
      </c>
      <c r="I21" s="16" t="n">
        <f aca="false">IF(OR(LEFT($B21,2)="P0",$H21&lt;=$G$3),$H21,IF(LEFT($B21,2)="P9",$H21-$E$3+$C$3,ROUND($H21*$C$3/$E$3,0)))</f>
        <v>2</v>
      </c>
      <c r="J21" s="4"/>
      <c r="K21" s="4" t="s">
        <v>235</v>
      </c>
      <c r="L21" s="4" t="s">
        <v>263</v>
      </c>
      <c r="M21" s="11" t="str">
        <f aca="false">IF(AND($G21&lt;=M$5,$H21&gt;=M$4),"■","")</f>
        <v/>
      </c>
      <c r="N21" s="11" t="str">
        <f aca="false">IF(AND($G21&lt;=N$5,$H21&gt;=N$4),"■","")</f>
        <v>■</v>
      </c>
      <c r="O21" s="11" t="str">
        <f aca="false">IF(AND($G21&lt;=O$5,$H21&gt;=O$4),"■","")</f>
        <v/>
      </c>
      <c r="P21" s="11" t="str">
        <f aca="false">IF(AND($G21&lt;=P$5,$H21&gt;=P$4),"■","")</f>
        <v/>
      </c>
      <c r="Q21" s="11" t="str">
        <f aca="false">IF(AND($G21&lt;=Q$5,$H21&gt;=Q$4),"■","")</f>
        <v/>
      </c>
      <c r="R21" s="11" t="str">
        <f aca="false">IF(AND($G21&lt;=R$5,$H21&gt;=R$4),"■","")</f>
        <v/>
      </c>
      <c r="S21" s="11" t="str">
        <f aca="false">IF(AND($G21&lt;=S$5,$H21&gt;=S$4),"■","")</f>
        <v/>
      </c>
      <c r="T21" s="11" t="str">
        <f aca="false">IF(AND($G21&lt;=T$5,$H21&gt;=T$4),"■","")</f>
        <v/>
      </c>
      <c r="U21" s="11" t="str">
        <f aca="false">IF(AND($G21&lt;=U$5,$H21&gt;=U$4),"■","")</f>
        <v/>
      </c>
      <c r="V21" s="11" t="str">
        <f aca="false">IF(AND($G21&lt;=V$5,$H21&gt;=V$4),"■","")</f>
        <v/>
      </c>
      <c r="W21" s="11" t="str">
        <f aca="false">IF(AND($G21&lt;=W$5,$H21&gt;=W$4),"■","")</f>
        <v/>
      </c>
      <c r="X21" s="11" t="str">
        <f aca="false">IF(AND($G21&lt;=X$5,$H21&gt;=X$4),"■","")</f>
        <v/>
      </c>
      <c r="Y21" s="11" t="str">
        <f aca="false">IF(AND($G21&lt;=Y$5,$H21&gt;=Y$4),"■","")</f>
        <v/>
      </c>
      <c r="Z21" s="11" t="str">
        <f aca="false">IF(AND($G21&lt;=Z$5,$H21&gt;=Z$4),"■","")</f>
        <v/>
      </c>
      <c r="AA21" s="11" t="str">
        <f aca="false">IF(AND($G21&lt;=AA$5,$H21&gt;=AA$4),"■","")</f>
        <v/>
      </c>
    </row>
    <row r="22" customFormat="false" ht="23.85" hidden="false" customHeight="false" outlineLevel="0" collapsed="false">
      <c r="A22" s="4" t="s">
        <v>264</v>
      </c>
      <c r="B22" s="4" t="s">
        <v>236</v>
      </c>
      <c r="C22" s="4" t="s">
        <v>265</v>
      </c>
      <c r="D22" s="4" t="s">
        <v>266</v>
      </c>
      <c r="E22" s="4" t="s">
        <v>34</v>
      </c>
      <c r="F22" s="15" t="s">
        <v>218</v>
      </c>
      <c r="G22" s="10" t="n">
        <v>2</v>
      </c>
      <c r="H22" s="10" t="n">
        <v>2</v>
      </c>
      <c r="I22" s="16" t="n">
        <f aca="false">IF(OR(LEFT($B22,2)="P0",$H22&lt;=$G$3),$H22,IF(LEFT($B22,2)="P9",$H22-$E$3+$C$3,ROUND($H22*$C$3/$E$3,0)))</f>
        <v>2</v>
      </c>
      <c r="J22" s="4"/>
      <c r="K22" s="4" t="s">
        <v>244</v>
      </c>
      <c r="L22" s="4" t="s">
        <v>267</v>
      </c>
      <c r="M22" s="11" t="str">
        <f aca="false">IF(AND($G22&lt;=M$5,$H22&gt;=M$4),"■","")</f>
        <v/>
      </c>
      <c r="N22" s="11" t="str">
        <f aca="false">IF(AND($G22&lt;=N$5,$H22&gt;=N$4),"■","")</f>
        <v>■</v>
      </c>
      <c r="O22" s="11" t="str">
        <f aca="false">IF(AND($G22&lt;=O$5,$H22&gt;=O$4),"■","")</f>
        <v/>
      </c>
      <c r="P22" s="11" t="str">
        <f aca="false">IF(AND($G22&lt;=P$5,$H22&gt;=P$4),"■","")</f>
        <v/>
      </c>
      <c r="Q22" s="11" t="str">
        <f aca="false">IF(AND($G22&lt;=Q$5,$H22&gt;=Q$4),"■","")</f>
        <v/>
      </c>
      <c r="R22" s="11" t="str">
        <f aca="false">IF(AND($G22&lt;=R$5,$H22&gt;=R$4),"■","")</f>
        <v/>
      </c>
      <c r="S22" s="11" t="str">
        <f aca="false">IF(AND($G22&lt;=S$5,$H22&gt;=S$4),"■","")</f>
        <v/>
      </c>
      <c r="T22" s="11" t="str">
        <f aca="false">IF(AND($G22&lt;=T$5,$H22&gt;=T$4),"■","")</f>
        <v/>
      </c>
      <c r="U22" s="11" t="str">
        <f aca="false">IF(AND($G22&lt;=U$5,$H22&gt;=U$4),"■","")</f>
        <v/>
      </c>
      <c r="V22" s="11" t="str">
        <f aca="false">IF(AND($G22&lt;=V$5,$H22&gt;=V$4),"■","")</f>
        <v/>
      </c>
      <c r="W22" s="11" t="str">
        <f aca="false">IF(AND($G22&lt;=W$5,$H22&gt;=W$4),"■","")</f>
        <v/>
      </c>
      <c r="X22" s="11" t="str">
        <f aca="false">IF(AND($G22&lt;=X$5,$H22&gt;=X$4),"■","")</f>
        <v/>
      </c>
      <c r="Y22" s="11" t="str">
        <f aca="false">IF(AND($G22&lt;=Y$5,$H22&gt;=Y$4),"■","")</f>
        <v/>
      </c>
      <c r="Z22" s="11" t="str">
        <f aca="false">IF(AND($G22&lt;=Z$5,$H22&gt;=Z$4),"■","")</f>
        <v/>
      </c>
      <c r="AA22" s="11" t="str">
        <f aca="false">IF(AND($G22&lt;=AA$5,$H22&gt;=AA$4),"■","")</f>
        <v/>
      </c>
    </row>
    <row r="23" customFormat="false" ht="23.85" hidden="false" customHeight="false" outlineLevel="0" collapsed="false">
      <c r="A23" s="4" t="s">
        <v>268</v>
      </c>
      <c r="B23" s="4" t="s">
        <v>236</v>
      </c>
      <c r="C23" s="4" t="s">
        <v>269</v>
      </c>
      <c r="D23" s="4" t="s">
        <v>270</v>
      </c>
      <c r="E23" s="4" t="s">
        <v>36</v>
      </c>
      <c r="F23" s="15" t="s">
        <v>218</v>
      </c>
      <c r="G23" s="10" t="n">
        <v>0</v>
      </c>
      <c r="H23" s="10" t="n">
        <v>5</v>
      </c>
      <c r="I23" s="16" t="n">
        <f aca="false">IF(OR(LEFT($B23,2)="P0",$H23&lt;=$G$3),$H23,IF(LEFT($B23,2)="P9",$H23-$E$3+$C$3,ROUND($H23*$C$3/$E$3,0)))</f>
        <v>5</v>
      </c>
      <c r="J23" s="4"/>
      <c r="K23" s="4" t="s">
        <v>244</v>
      </c>
      <c r="L23" s="4" t="s">
        <v>271</v>
      </c>
      <c r="M23" s="11" t="str">
        <f aca="false">IF(AND($G23&lt;=M$5,$H23&gt;=M$4),"■","")</f>
        <v/>
      </c>
      <c r="N23" s="11" t="str">
        <f aca="false">IF(AND($G23&lt;=N$5,$H23&gt;=N$4),"■","")</f>
        <v>■</v>
      </c>
      <c r="O23" s="11" t="str">
        <f aca="false">IF(AND($G23&lt;=O$5,$H23&gt;=O$4),"■","")</f>
        <v/>
      </c>
      <c r="P23" s="11" t="str">
        <f aca="false">IF(AND($G23&lt;=P$5,$H23&gt;=P$4),"■","")</f>
        <v/>
      </c>
      <c r="Q23" s="11" t="str">
        <f aca="false">IF(AND($G23&lt;=Q$5,$H23&gt;=Q$4),"■","")</f>
        <v/>
      </c>
      <c r="R23" s="11" t="str">
        <f aca="false">IF(AND($G23&lt;=R$5,$H23&gt;=R$4),"■","")</f>
        <v/>
      </c>
      <c r="S23" s="11" t="str">
        <f aca="false">IF(AND($G23&lt;=S$5,$H23&gt;=S$4),"■","")</f>
        <v/>
      </c>
      <c r="T23" s="11" t="str">
        <f aca="false">IF(AND($G23&lt;=T$5,$H23&gt;=T$4),"■","")</f>
        <v/>
      </c>
      <c r="U23" s="11" t="str">
        <f aca="false">IF(AND($G23&lt;=U$5,$H23&gt;=U$4),"■","")</f>
        <v/>
      </c>
      <c r="V23" s="11" t="str">
        <f aca="false">IF(AND($G23&lt;=V$5,$H23&gt;=V$4),"■","")</f>
        <v/>
      </c>
      <c r="W23" s="11" t="str">
        <f aca="false">IF(AND($G23&lt;=W$5,$H23&gt;=W$4),"■","")</f>
        <v/>
      </c>
      <c r="X23" s="11" t="str">
        <f aca="false">IF(AND($G23&lt;=X$5,$H23&gt;=X$4),"■","")</f>
        <v/>
      </c>
      <c r="Y23" s="11" t="str">
        <f aca="false">IF(AND($G23&lt;=Y$5,$H23&gt;=Y$4),"■","")</f>
        <v/>
      </c>
      <c r="Z23" s="11" t="str">
        <f aca="false">IF(AND($G23&lt;=Z$5,$H23&gt;=Z$4),"■","")</f>
        <v/>
      </c>
      <c r="AA23" s="11" t="str">
        <f aca="false">IF(AND($G23&lt;=AA$5,$H23&gt;=AA$4),"■","")</f>
        <v/>
      </c>
    </row>
    <row r="24" customFormat="false" ht="23.85" hidden="false" customHeight="false" outlineLevel="0" collapsed="false">
      <c r="A24" s="4" t="s">
        <v>272</v>
      </c>
      <c r="B24" s="4" t="s">
        <v>273</v>
      </c>
      <c r="C24" s="4" t="s">
        <v>274</v>
      </c>
      <c r="D24" s="4" t="s">
        <v>275</v>
      </c>
      <c r="E24" s="4" t="s">
        <v>36</v>
      </c>
      <c r="F24" s="15" t="s">
        <v>218</v>
      </c>
      <c r="G24" s="10" t="n">
        <v>1</v>
      </c>
      <c r="H24" s="10" t="n">
        <v>3</v>
      </c>
      <c r="I24" s="16" t="n">
        <f aca="false">IF(OR(LEFT($B24,2)="P0",$H24&lt;=$G$3),$H24,IF(LEFT($B24,2)="P9",$H24-$E$3+$C$3,ROUND($H24*$C$3/$E$3,0)))</f>
        <v>3</v>
      </c>
      <c r="J24" s="4"/>
      <c r="K24" s="4" t="s">
        <v>244</v>
      </c>
      <c r="L24" s="4" t="s">
        <v>276</v>
      </c>
      <c r="M24" s="11" t="str">
        <f aca="false">IF(AND($G24&lt;=M$5,$H24&gt;=M$4),"■","")</f>
        <v/>
      </c>
      <c r="N24" s="11" t="str">
        <f aca="false">IF(AND($G24&lt;=N$5,$H24&gt;=N$4),"■","")</f>
        <v>■</v>
      </c>
      <c r="O24" s="11" t="str">
        <f aca="false">IF(AND($G24&lt;=O$5,$H24&gt;=O$4),"■","")</f>
        <v/>
      </c>
      <c r="P24" s="11" t="str">
        <f aca="false">IF(AND($G24&lt;=P$5,$H24&gt;=P$4),"■","")</f>
        <v/>
      </c>
      <c r="Q24" s="11" t="str">
        <f aca="false">IF(AND($G24&lt;=Q$5,$H24&gt;=Q$4),"■","")</f>
        <v/>
      </c>
      <c r="R24" s="11" t="str">
        <f aca="false">IF(AND($G24&lt;=R$5,$H24&gt;=R$4),"■","")</f>
        <v/>
      </c>
      <c r="S24" s="11" t="str">
        <f aca="false">IF(AND($G24&lt;=S$5,$H24&gt;=S$4),"■","")</f>
        <v/>
      </c>
      <c r="T24" s="11" t="str">
        <f aca="false">IF(AND($G24&lt;=T$5,$H24&gt;=T$4),"■","")</f>
        <v/>
      </c>
      <c r="U24" s="11" t="str">
        <f aca="false">IF(AND($G24&lt;=U$5,$H24&gt;=U$4),"■","")</f>
        <v/>
      </c>
      <c r="V24" s="11" t="str">
        <f aca="false">IF(AND($G24&lt;=V$5,$H24&gt;=V$4),"■","")</f>
        <v/>
      </c>
      <c r="W24" s="11" t="str">
        <f aca="false">IF(AND($G24&lt;=W$5,$H24&gt;=W$4),"■","")</f>
        <v/>
      </c>
      <c r="X24" s="11" t="str">
        <f aca="false">IF(AND($G24&lt;=X$5,$H24&gt;=X$4),"■","")</f>
        <v/>
      </c>
      <c r="Y24" s="11" t="str">
        <f aca="false">IF(AND($G24&lt;=Y$5,$H24&gt;=Y$4),"■","")</f>
        <v/>
      </c>
      <c r="Z24" s="11" t="str">
        <f aca="false">IF(AND($G24&lt;=Z$5,$H24&gt;=Z$4),"■","")</f>
        <v/>
      </c>
      <c r="AA24" s="11" t="str">
        <f aca="false">IF(AND($G24&lt;=AA$5,$H24&gt;=AA$4),"■","")</f>
        <v/>
      </c>
    </row>
    <row r="25" customFormat="false" ht="15" hidden="false" customHeight="false" outlineLevel="0" collapsed="false">
      <c r="A25" s="4" t="s">
        <v>277</v>
      </c>
      <c r="B25" s="4" t="s">
        <v>273</v>
      </c>
      <c r="C25" s="4" t="s">
        <v>278</v>
      </c>
      <c r="D25" s="4" t="s">
        <v>279</v>
      </c>
      <c r="E25" s="4" t="s">
        <v>36</v>
      </c>
      <c r="F25" s="15" t="s">
        <v>218</v>
      </c>
      <c r="G25" s="10" t="n">
        <v>1</v>
      </c>
      <c r="H25" s="10" t="n">
        <v>5</v>
      </c>
      <c r="I25" s="16" t="n">
        <f aca="false">IF(OR(LEFT($B25,2)="P0",$H25&lt;=$G$3),$H25,IF(LEFT($B25,2)="P9",$H25-$E$3+$C$3,ROUND($H25*$C$3/$E$3,0)))</f>
        <v>5</v>
      </c>
      <c r="J25" s="4"/>
      <c r="K25" s="4" t="s">
        <v>244</v>
      </c>
      <c r="L25" s="4" t="s">
        <v>280</v>
      </c>
      <c r="M25" s="11" t="str">
        <f aca="false">IF(AND($G25&lt;=M$5,$H25&gt;=M$4),"■","")</f>
        <v/>
      </c>
      <c r="N25" s="11" t="str">
        <f aca="false">IF(AND($G25&lt;=N$5,$H25&gt;=N$4),"■","")</f>
        <v>■</v>
      </c>
      <c r="O25" s="11" t="str">
        <f aca="false">IF(AND($G25&lt;=O$5,$H25&gt;=O$4),"■","")</f>
        <v/>
      </c>
      <c r="P25" s="11" t="str">
        <f aca="false">IF(AND($G25&lt;=P$5,$H25&gt;=P$4),"■","")</f>
        <v/>
      </c>
      <c r="Q25" s="11" t="str">
        <f aca="false">IF(AND($G25&lt;=Q$5,$H25&gt;=Q$4),"■","")</f>
        <v/>
      </c>
      <c r="R25" s="11" t="str">
        <f aca="false">IF(AND($G25&lt;=R$5,$H25&gt;=R$4),"■","")</f>
        <v/>
      </c>
      <c r="S25" s="11" t="str">
        <f aca="false">IF(AND($G25&lt;=S$5,$H25&gt;=S$4),"■","")</f>
        <v/>
      </c>
      <c r="T25" s="11" t="str">
        <f aca="false">IF(AND($G25&lt;=T$5,$H25&gt;=T$4),"■","")</f>
        <v/>
      </c>
      <c r="U25" s="11" t="str">
        <f aca="false">IF(AND($G25&lt;=U$5,$H25&gt;=U$4),"■","")</f>
        <v/>
      </c>
      <c r="V25" s="11" t="str">
        <f aca="false">IF(AND($G25&lt;=V$5,$H25&gt;=V$4),"■","")</f>
        <v/>
      </c>
      <c r="W25" s="11" t="str">
        <f aca="false">IF(AND($G25&lt;=W$5,$H25&gt;=W$4),"■","")</f>
        <v/>
      </c>
      <c r="X25" s="11" t="str">
        <f aca="false">IF(AND($G25&lt;=X$5,$H25&gt;=X$4),"■","")</f>
        <v/>
      </c>
      <c r="Y25" s="11" t="str">
        <f aca="false">IF(AND($G25&lt;=Y$5,$H25&gt;=Y$4),"■","")</f>
        <v/>
      </c>
      <c r="Z25" s="11" t="str">
        <f aca="false">IF(AND($G25&lt;=Z$5,$H25&gt;=Z$4),"■","")</f>
        <v/>
      </c>
      <c r="AA25" s="11" t="str">
        <f aca="false">IF(AND($G25&lt;=AA$5,$H25&gt;=AA$4),"■","")</f>
        <v/>
      </c>
    </row>
    <row r="26" customFormat="false" ht="23.85" hidden="false" customHeight="false" outlineLevel="0" collapsed="false">
      <c r="A26" s="4" t="s">
        <v>281</v>
      </c>
      <c r="B26" s="4" t="s">
        <v>273</v>
      </c>
      <c r="C26" s="4" t="s">
        <v>282</v>
      </c>
      <c r="D26" s="4" t="s">
        <v>283</v>
      </c>
      <c r="E26" s="4" t="s">
        <v>36</v>
      </c>
      <c r="F26" s="15" t="s">
        <v>218</v>
      </c>
      <c r="G26" s="10" t="n">
        <v>1</v>
      </c>
      <c r="H26" s="10" t="n">
        <v>7</v>
      </c>
      <c r="I26" s="16" t="n">
        <f aca="false">IF(OR(LEFT($B26,2)="P0",$H26&lt;=$G$3),$H26,IF(LEFT($B26,2)="P9",$H26-$E$3+$C$3,ROUND($H26*$C$3/$E$3,0)))</f>
        <v>7</v>
      </c>
      <c r="J26" s="4"/>
      <c r="K26" s="4" t="s">
        <v>277</v>
      </c>
      <c r="L26" s="4" t="s">
        <v>276</v>
      </c>
      <c r="M26" s="11" t="str">
        <f aca="false">IF(AND($G26&lt;=M$5,$H26&gt;=M$4),"■","")</f>
        <v/>
      </c>
      <c r="N26" s="11" t="str">
        <f aca="false">IF(AND($G26&lt;=N$5,$H26&gt;=N$4),"■","")</f>
        <v>■</v>
      </c>
      <c r="O26" s="11" t="str">
        <f aca="false">IF(AND($G26&lt;=O$5,$H26&gt;=O$4),"■","")</f>
        <v>■</v>
      </c>
      <c r="P26" s="11" t="str">
        <f aca="false">IF(AND($G26&lt;=P$5,$H26&gt;=P$4),"■","")</f>
        <v/>
      </c>
      <c r="Q26" s="11" t="str">
        <f aca="false">IF(AND($G26&lt;=Q$5,$H26&gt;=Q$4),"■","")</f>
        <v/>
      </c>
      <c r="R26" s="11" t="str">
        <f aca="false">IF(AND($G26&lt;=R$5,$H26&gt;=R$4),"■","")</f>
        <v/>
      </c>
      <c r="S26" s="11" t="str">
        <f aca="false">IF(AND($G26&lt;=S$5,$H26&gt;=S$4),"■","")</f>
        <v/>
      </c>
      <c r="T26" s="11" t="str">
        <f aca="false">IF(AND($G26&lt;=T$5,$H26&gt;=T$4),"■","")</f>
        <v/>
      </c>
      <c r="U26" s="11" t="str">
        <f aca="false">IF(AND($G26&lt;=U$5,$H26&gt;=U$4),"■","")</f>
        <v/>
      </c>
      <c r="V26" s="11" t="str">
        <f aca="false">IF(AND($G26&lt;=V$5,$H26&gt;=V$4),"■","")</f>
        <v/>
      </c>
      <c r="W26" s="11" t="str">
        <f aca="false">IF(AND($G26&lt;=W$5,$H26&gt;=W$4),"■","")</f>
        <v/>
      </c>
      <c r="X26" s="11" t="str">
        <f aca="false">IF(AND($G26&lt;=X$5,$H26&gt;=X$4),"■","")</f>
        <v/>
      </c>
      <c r="Y26" s="11" t="str">
        <f aca="false">IF(AND($G26&lt;=Y$5,$H26&gt;=Y$4),"■","")</f>
        <v/>
      </c>
      <c r="Z26" s="11" t="str">
        <f aca="false">IF(AND($G26&lt;=Z$5,$H26&gt;=Z$4),"■","")</f>
        <v/>
      </c>
      <c r="AA26" s="11" t="str">
        <f aca="false">IF(AND($G26&lt;=AA$5,$H26&gt;=AA$4),"■","")</f>
        <v/>
      </c>
    </row>
    <row r="27" customFormat="false" ht="23.85" hidden="false" customHeight="false" outlineLevel="0" collapsed="false">
      <c r="A27" s="4" t="s">
        <v>284</v>
      </c>
      <c r="B27" s="4" t="s">
        <v>273</v>
      </c>
      <c r="C27" s="4" t="s">
        <v>285</v>
      </c>
      <c r="D27" s="4" t="s">
        <v>286</v>
      </c>
      <c r="E27" s="4" t="s">
        <v>36</v>
      </c>
      <c r="F27" s="15" t="s">
        <v>218</v>
      </c>
      <c r="G27" s="10" t="n">
        <v>1</v>
      </c>
      <c r="H27" s="10" t="n">
        <v>7</v>
      </c>
      <c r="I27" s="16" t="n">
        <f aca="false">IF(OR(LEFT($B27,2)="P0",$H27&lt;=$G$3),$H27,IF(LEFT($B27,2)="P9",$H27-$E$3+$C$3,ROUND($H27*$C$3/$E$3,0)))</f>
        <v>7</v>
      </c>
      <c r="J27" s="4"/>
      <c r="K27" s="4" t="s">
        <v>277</v>
      </c>
      <c r="L27" s="4" t="s">
        <v>287</v>
      </c>
      <c r="M27" s="11" t="str">
        <f aca="false">IF(AND($G27&lt;=M$5,$H27&gt;=M$4),"■","")</f>
        <v/>
      </c>
      <c r="N27" s="11" t="str">
        <f aca="false">IF(AND($G27&lt;=N$5,$H27&gt;=N$4),"■","")</f>
        <v>■</v>
      </c>
      <c r="O27" s="11" t="str">
        <f aca="false">IF(AND($G27&lt;=O$5,$H27&gt;=O$4),"■","")</f>
        <v>■</v>
      </c>
      <c r="P27" s="11" t="str">
        <f aca="false">IF(AND($G27&lt;=P$5,$H27&gt;=P$4),"■","")</f>
        <v/>
      </c>
      <c r="Q27" s="11" t="str">
        <f aca="false">IF(AND($G27&lt;=Q$5,$H27&gt;=Q$4),"■","")</f>
        <v/>
      </c>
      <c r="R27" s="11" t="str">
        <f aca="false">IF(AND($G27&lt;=R$5,$H27&gt;=R$4),"■","")</f>
        <v/>
      </c>
      <c r="S27" s="11" t="str">
        <f aca="false">IF(AND($G27&lt;=S$5,$H27&gt;=S$4),"■","")</f>
        <v/>
      </c>
      <c r="T27" s="11" t="str">
        <f aca="false">IF(AND($G27&lt;=T$5,$H27&gt;=T$4),"■","")</f>
        <v/>
      </c>
      <c r="U27" s="11" t="str">
        <f aca="false">IF(AND($G27&lt;=U$5,$H27&gt;=U$4),"■","")</f>
        <v/>
      </c>
      <c r="V27" s="11" t="str">
        <f aca="false">IF(AND($G27&lt;=V$5,$H27&gt;=V$4),"■","")</f>
        <v/>
      </c>
      <c r="W27" s="11" t="str">
        <f aca="false">IF(AND($G27&lt;=W$5,$H27&gt;=W$4),"■","")</f>
        <v/>
      </c>
      <c r="X27" s="11" t="str">
        <f aca="false">IF(AND($G27&lt;=X$5,$H27&gt;=X$4),"■","")</f>
        <v/>
      </c>
      <c r="Y27" s="11" t="str">
        <f aca="false">IF(AND($G27&lt;=Y$5,$H27&gt;=Y$4),"■","")</f>
        <v/>
      </c>
      <c r="Z27" s="11" t="str">
        <f aca="false">IF(AND($G27&lt;=Z$5,$H27&gt;=Z$4),"■","")</f>
        <v/>
      </c>
      <c r="AA27" s="11" t="str">
        <f aca="false">IF(AND($G27&lt;=AA$5,$H27&gt;=AA$4),"■","")</f>
        <v/>
      </c>
    </row>
    <row r="28" customFormat="false" ht="23.85" hidden="false" customHeight="false" outlineLevel="0" collapsed="false">
      <c r="A28" s="4" t="s">
        <v>288</v>
      </c>
      <c r="B28" s="4" t="s">
        <v>273</v>
      </c>
      <c r="C28" s="4" t="s">
        <v>289</v>
      </c>
      <c r="D28" s="4" t="s">
        <v>290</v>
      </c>
      <c r="E28" s="4" t="s">
        <v>32</v>
      </c>
      <c r="F28" s="15" t="s">
        <v>218</v>
      </c>
      <c r="G28" s="10" t="n">
        <v>2</v>
      </c>
      <c r="H28" s="10" t="n">
        <v>3</v>
      </c>
      <c r="I28" s="16" t="n">
        <f aca="false">IF(OR(LEFT($B28,2)="P0",$H28&lt;=$G$3),$H28,IF(LEFT($B28,2)="P9",$H28-$E$3+$C$3,ROUND($H28*$C$3/$E$3,0)))</f>
        <v>3</v>
      </c>
      <c r="J28" s="4"/>
      <c r="K28" s="4" t="s">
        <v>248</v>
      </c>
      <c r="L28" s="4" t="s">
        <v>251</v>
      </c>
      <c r="M28" s="11" t="str">
        <f aca="false">IF(AND($G28&lt;=M$5,$H28&gt;=M$4),"■","")</f>
        <v/>
      </c>
      <c r="N28" s="11" t="str">
        <f aca="false">IF(AND($G28&lt;=N$5,$H28&gt;=N$4),"■","")</f>
        <v>■</v>
      </c>
      <c r="O28" s="11" t="str">
        <f aca="false">IF(AND($G28&lt;=O$5,$H28&gt;=O$4),"■","")</f>
        <v/>
      </c>
      <c r="P28" s="11" t="str">
        <f aca="false">IF(AND($G28&lt;=P$5,$H28&gt;=P$4),"■","")</f>
        <v/>
      </c>
      <c r="Q28" s="11" t="str">
        <f aca="false">IF(AND($G28&lt;=Q$5,$H28&gt;=Q$4),"■","")</f>
        <v/>
      </c>
      <c r="R28" s="11" t="str">
        <f aca="false">IF(AND($G28&lt;=R$5,$H28&gt;=R$4),"■","")</f>
        <v/>
      </c>
      <c r="S28" s="11" t="str">
        <f aca="false">IF(AND($G28&lt;=S$5,$H28&gt;=S$4),"■","")</f>
        <v/>
      </c>
      <c r="T28" s="11" t="str">
        <f aca="false">IF(AND($G28&lt;=T$5,$H28&gt;=T$4),"■","")</f>
        <v/>
      </c>
      <c r="U28" s="11" t="str">
        <f aca="false">IF(AND($G28&lt;=U$5,$H28&gt;=U$4),"■","")</f>
        <v/>
      </c>
      <c r="V28" s="11" t="str">
        <f aca="false">IF(AND($G28&lt;=V$5,$H28&gt;=V$4),"■","")</f>
        <v/>
      </c>
      <c r="W28" s="11" t="str">
        <f aca="false">IF(AND($G28&lt;=W$5,$H28&gt;=W$4),"■","")</f>
        <v/>
      </c>
      <c r="X28" s="11" t="str">
        <f aca="false">IF(AND($G28&lt;=X$5,$H28&gt;=X$4),"■","")</f>
        <v/>
      </c>
      <c r="Y28" s="11" t="str">
        <f aca="false">IF(AND($G28&lt;=Y$5,$H28&gt;=Y$4),"■","")</f>
        <v/>
      </c>
      <c r="Z28" s="11" t="str">
        <f aca="false">IF(AND($G28&lt;=Z$5,$H28&gt;=Z$4),"■","")</f>
        <v/>
      </c>
      <c r="AA28" s="11" t="str">
        <f aca="false">IF(AND($G28&lt;=AA$5,$H28&gt;=AA$4),"■","")</f>
        <v/>
      </c>
    </row>
    <row r="29" customFormat="false" ht="23.85" hidden="false" customHeight="false" outlineLevel="0" collapsed="false">
      <c r="A29" s="4" t="s">
        <v>291</v>
      </c>
      <c r="B29" s="4" t="s">
        <v>273</v>
      </c>
      <c r="C29" s="4" t="s">
        <v>292</v>
      </c>
      <c r="D29" s="4" t="s">
        <v>293</v>
      </c>
      <c r="E29" s="4" t="s">
        <v>32</v>
      </c>
      <c r="F29" s="15" t="s">
        <v>205</v>
      </c>
      <c r="G29" s="10" t="n">
        <v>3</v>
      </c>
      <c r="H29" s="10" t="n">
        <v>7</v>
      </c>
      <c r="I29" s="16" t="n">
        <f aca="false">IF(OR(LEFT($B29,2)="P0",$H29&lt;=$G$3),$H29,IF(LEFT($B29,2)="P9",$H29-$E$3+$C$3,ROUND($H29*$C$3/$E$3,0)))</f>
        <v>7</v>
      </c>
      <c r="J29" s="4"/>
      <c r="K29" s="4" t="s">
        <v>272</v>
      </c>
      <c r="L29" s="4" t="s">
        <v>294</v>
      </c>
      <c r="M29" s="11" t="str">
        <f aca="false">IF(AND($G29&lt;=M$5,$H29&gt;=M$4),"■","")</f>
        <v/>
      </c>
      <c r="N29" s="11" t="str">
        <f aca="false">IF(AND($G29&lt;=N$5,$H29&gt;=N$4),"■","")</f>
        <v>■</v>
      </c>
      <c r="O29" s="11" t="str">
        <f aca="false">IF(AND($G29&lt;=O$5,$H29&gt;=O$4),"■","")</f>
        <v>■</v>
      </c>
      <c r="P29" s="11" t="str">
        <f aca="false">IF(AND($G29&lt;=P$5,$H29&gt;=P$4),"■","")</f>
        <v/>
      </c>
      <c r="Q29" s="11" t="str">
        <f aca="false">IF(AND($G29&lt;=Q$5,$H29&gt;=Q$4),"■","")</f>
        <v/>
      </c>
      <c r="R29" s="11" t="str">
        <f aca="false">IF(AND($G29&lt;=R$5,$H29&gt;=R$4),"■","")</f>
        <v/>
      </c>
      <c r="S29" s="11" t="str">
        <f aca="false">IF(AND($G29&lt;=S$5,$H29&gt;=S$4),"■","")</f>
        <v/>
      </c>
      <c r="T29" s="11" t="str">
        <f aca="false">IF(AND($G29&lt;=T$5,$H29&gt;=T$4),"■","")</f>
        <v/>
      </c>
      <c r="U29" s="11" t="str">
        <f aca="false">IF(AND($G29&lt;=U$5,$H29&gt;=U$4),"■","")</f>
        <v/>
      </c>
      <c r="V29" s="11" t="str">
        <f aca="false">IF(AND($G29&lt;=V$5,$H29&gt;=V$4),"■","")</f>
        <v/>
      </c>
      <c r="W29" s="11" t="str">
        <f aca="false">IF(AND($G29&lt;=W$5,$H29&gt;=W$4),"■","")</f>
        <v/>
      </c>
      <c r="X29" s="11" t="str">
        <f aca="false">IF(AND($G29&lt;=X$5,$H29&gt;=X$4),"■","")</f>
        <v/>
      </c>
      <c r="Y29" s="11" t="str">
        <f aca="false">IF(AND($G29&lt;=Y$5,$H29&gt;=Y$4),"■","")</f>
        <v/>
      </c>
      <c r="Z29" s="11" t="str">
        <f aca="false">IF(AND($G29&lt;=Z$5,$H29&gt;=Z$4),"■","")</f>
        <v/>
      </c>
      <c r="AA29" s="11" t="str">
        <f aca="false">IF(AND($G29&lt;=AA$5,$H29&gt;=AA$4),"■","")</f>
        <v/>
      </c>
    </row>
    <row r="30" customFormat="false" ht="15" hidden="false" customHeight="false" outlineLevel="0" collapsed="false">
      <c r="A30" s="4" t="s">
        <v>295</v>
      </c>
      <c r="B30" s="4" t="s">
        <v>273</v>
      </c>
      <c r="C30" s="4" t="s">
        <v>296</v>
      </c>
      <c r="D30" s="4" t="s">
        <v>297</v>
      </c>
      <c r="E30" s="4" t="s">
        <v>32</v>
      </c>
      <c r="F30" s="15" t="s">
        <v>205</v>
      </c>
      <c r="G30" s="10" t="n">
        <v>5</v>
      </c>
      <c r="H30" s="10" t="n">
        <v>7</v>
      </c>
      <c r="I30" s="16" t="n">
        <f aca="false">IF(OR(LEFT($B30,2)="P0",$H30&lt;=$G$3),$H30,IF(LEFT($B30,2)="P9",$H30-$E$3+$C$3,ROUND($H30*$C$3/$E$3,0)))</f>
        <v>7</v>
      </c>
      <c r="J30" s="4"/>
      <c r="K30" s="4" t="s">
        <v>291</v>
      </c>
      <c r="L30" s="4" t="s">
        <v>259</v>
      </c>
      <c r="M30" s="11" t="str">
        <f aca="false">IF(AND($G30&lt;=M$5,$H30&gt;=M$4),"■","")</f>
        <v/>
      </c>
      <c r="N30" s="11" t="str">
        <f aca="false">IF(AND($G30&lt;=N$5,$H30&gt;=N$4),"■","")</f>
        <v>■</v>
      </c>
      <c r="O30" s="11" t="str">
        <f aca="false">IF(AND($G30&lt;=O$5,$H30&gt;=O$4),"■","")</f>
        <v>■</v>
      </c>
      <c r="P30" s="11" t="str">
        <f aca="false">IF(AND($G30&lt;=P$5,$H30&gt;=P$4),"■","")</f>
        <v/>
      </c>
      <c r="Q30" s="11" t="str">
        <f aca="false">IF(AND($G30&lt;=Q$5,$H30&gt;=Q$4),"■","")</f>
        <v/>
      </c>
      <c r="R30" s="11" t="str">
        <f aca="false">IF(AND($G30&lt;=R$5,$H30&gt;=R$4),"■","")</f>
        <v/>
      </c>
      <c r="S30" s="11" t="str">
        <f aca="false">IF(AND($G30&lt;=S$5,$H30&gt;=S$4),"■","")</f>
        <v/>
      </c>
      <c r="T30" s="11" t="str">
        <f aca="false">IF(AND($G30&lt;=T$5,$H30&gt;=T$4),"■","")</f>
        <v/>
      </c>
      <c r="U30" s="11" t="str">
        <f aca="false">IF(AND($G30&lt;=U$5,$H30&gt;=U$4),"■","")</f>
        <v/>
      </c>
      <c r="V30" s="11" t="str">
        <f aca="false">IF(AND($G30&lt;=V$5,$H30&gt;=V$4),"■","")</f>
        <v/>
      </c>
      <c r="W30" s="11" t="str">
        <f aca="false">IF(AND($G30&lt;=W$5,$H30&gt;=W$4),"■","")</f>
        <v/>
      </c>
      <c r="X30" s="11" t="str">
        <f aca="false">IF(AND($G30&lt;=X$5,$H30&gt;=X$4),"■","")</f>
        <v/>
      </c>
      <c r="Y30" s="11" t="str">
        <f aca="false">IF(AND($G30&lt;=Y$5,$H30&gt;=Y$4),"■","")</f>
        <v/>
      </c>
      <c r="Z30" s="11" t="str">
        <f aca="false">IF(AND($G30&lt;=Z$5,$H30&gt;=Z$4),"■","")</f>
        <v/>
      </c>
      <c r="AA30" s="11" t="str">
        <f aca="false">IF(AND($G30&lt;=AA$5,$H30&gt;=AA$4),"■","")</f>
        <v/>
      </c>
    </row>
    <row r="31" customFormat="false" ht="23.85" hidden="false" customHeight="false" outlineLevel="0" collapsed="false">
      <c r="A31" s="4" t="s">
        <v>298</v>
      </c>
      <c r="B31" s="4" t="s">
        <v>299</v>
      </c>
      <c r="C31" s="4" t="s">
        <v>300</v>
      </c>
      <c r="D31" s="4" t="s">
        <v>301</v>
      </c>
      <c r="E31" s="4" t="s">
        <v>32</v>
      </c>
      <c r="F31" s="15" t="s">
        <v>205</v>
      </c>
      <c r="G31" s="10" t="n">
        <v>5</v>
      </c>
      <c r="H31" s="10" t="n">
        <v>7</v>
      </c>
      <c r="I31" s="16" t="n">
        <f aca="false">IF(OR(LEFT($B31,2)="P0",$H31&lt;=$G$3),$H31,IF(LEFT($B31,2)="P9",$H31-$E$3+$C$3,ROUND($H31*$C$3/$E$3,0)))</f>
        <v>7</v>
      </c>
      <c r="J31" s="4"/>
      <c r="K31" s="4" t="s">
        <v>302</v>
      </c>
      <c r="L31" s="4" t="s">
        <v>294</v>
      </c>
      <c r="M31" s="11" t="str">
        <f aca="false">IF(AND($G31&lt;=M$5,$H31&gt;=M$4),"■","")</f>
        <v/>
      </c>
      <c r="N31" s="11" t="str">
        <f aca="false">IF(AND($G31&lt;=N$5,$H31&gt;=N$4),"■","")</f>
        <v>■</v>
      </c>
      <c r="O31" s="11" t="str">
        <f aca="false">IF(AND($G31&lt;=O$5,$H31&gt;=O$4),"■","")</f>
        <v>■</v>
      </c>
      <c r="P31" s="11" t="str">
        <f aca="false">IF(AND($G31&lt;=P$5,$H31&gt;=P$4),"■","")</f>
        <v/>
      </c>
      <c r="Q31" s="11" t="str">
        <f aca="false">IF(AND($G31&lt;=Q$5,$H31&gt;=Q$4),"■","")</f>
        <v/>
      </c>
      <c r="R31" s="11" t="str">
        <f aca="false">IF(AND($G31&lt;=R$5,$H31&gt;=R$4),"■","")</f>
        <v/>
      </c>
      <c r="S31" s="11" t="str">
        <f aca="false">IF(AND($G31&lt;=S$5,$H31&gt;=S$4),"■","")</f>
        <v/>
      </c>
      <c r="T31" s="11" t="str">
        <f aca="false">IF(AND($G31&lt;=T$5,$H31&gt;=T$4),"■","")</f>
        <v/>
      </c>
      <c r="U31" s="11" t="str">
        <f aca="false">IF(AND($G31&lt;=U$5,$H31&gt;=U$4),"■","")</f>
        <v/>
      </c>
      <c r="V31" s="11" t="str">
        <f aca="false">IF(AND($G31&lt;=V$5,$H31&gt;=V$4),"■","")</f>
        <v/>
      </c>
      <c r="W31" s="11" t="str">
        <f aca="false">IF(AND($G31&lt;=W$5,$H31&gt;=W$4),"■","")</f>
        <v/>
      </c>
      <c r="X31" s="11" t="str">
        <f aca="false">IF(AND($G31&lt;=X$5,$H31&gt;=X$4),"■","")</f>
        <v/>
      </c>
      <c r="Y31" s="11" t="str">
        <f aca="false">IF(AND($G31&lt;=Y$5,$H31&gt;=Y$4),"■","")</f>
        <v/>
      </c>
      <c r="Z31" s="11" t="str">
        <f aca="false">IF(AND($G31&lt;=Z$5,$H31&gt;=Z$4),"■","")</f>
        <v/>
      </c>
      <c r="AA31" s="11" t="str">
        <f aca="false">IF(AND($G31&lt;=AA$5,$H31&gt;=AA$4),"■","")</f>
        <v/>
      </c>
    </row>
    <row r="32" customFormat="false" ht="35.05" hidden="false" customHeight="false" outlineLevel="0" collapsed="false">
      <c r="A32" s="4" t="s">
        <v>303</v>
      </c>
      <c r="B32" s="4" t="s">
        <v>299</v>
      </c>
      <c r="C32" s="4" t="s">
        <v>304</v>
      </c>
      <c r="D32" s="4" t="s">
        <v>305</v>
      </c>
      <c r="E32" s="4" t="s">
        <v>32</v>
      </c>
      <c r="F32" s="15" t="s">
        <v>218</v>
      </c>
      <c r="G32" s="10" t="n">
        <v>5</v>
      </c>
      <c r="H32" s="10" t="n">
        <v>10</v>
      </c>
      <c r="I32" s="16" t="n">
        <f aca="false">IF(OR(LEFT($B32,2)="P0",$H32&lt;=$G$3),$H32,IF(LEFT($B32,2)="P9",$H32-$E$3+$C$3,ROUND($H32*$C$3/$E$3,0)))</f>
        <v>10</v>
      </c>
      <c r="J32" s="4"/>
      <c r="K32" s="4" t="s">
        <v>298</v>
      </c>
      <c r="L32" s="4" t="s">
        <v>306</v>
      </c>
      <c r="M32" s="11" t="str">
        <f aca="false">IF(AND($G32&lt;=M$5,$H32&gt;=M$4),"■","")</f>
        <v/>
      </c>
      <c r="N32" s="11" t="str">
        <f aca="false">IF(AND($G32&lt;=N$5,$H32&gt;=N$4),"■","")</f>
        <v>■</v>
      </c>
      <c r="O32" s="11" t="str">
        <f aca="false">IF(AND($G32&lt;=O$5,$H32&gt;=O$4),"■","")</f>
        <v>■</v>
      </c>
      <c r="P32" s="11" t="str">
        <f aca="false">IF(AND($G32&lt;=P$5,$H32&gt;=P$4),"■","")</f>
        <v/>
      </c>
      <c r="Q32" s="11" t="str">
        <f aca="false">IF(AND($G32&lt;=Q$5,$H32&gt;=Q$4),"■","")</f>
        <v/>
      </c>
      <c r="R32" s="11" t="str">
        <f aca="false">IF(AND($G32&lt;=R$5,$H32&gt;=R$4),"■","")</f>
        <v/>
      </c>
      <c r="S32" s="11" t="str">
        <f aca="false">IF(AND($G32&lt;=S$5,$H32&gt;=S$4),"■","")</f>
        <v/>
      </c>
      <c r="T32" s="11" t="str">
        <f aca="false">IF(AND($G32&lt;=T$5,$H32&gt;=T$4),"■","")</f>
        <v/>
      </c>
      <c r="U32" s="11" t="str">
        <f aca="false">IF(AND($G32&lt;=U$5,$H32&gt;=U$4),"■","")</f>
        <v/>
      </c>
      <c r="V32" s="11" t="str">
        <f aca="false">IF(AND($G32&lt;=V$5,$H32&gt;=V$4),"■","")</f>
        <v/>
      </c>
      <c r="W32" s="11" t="str">
        <f aca="false">IF(AND($G32&lt;=W$5,$H32&gt;=W$4),"■","")</f>
        <v/>
      </c>
      <c r="X32" s="11" t="str">
        <f aca="false">IF(AND($G32&lt;=X$5,$H32&gt;=X$4),"■","")</f>
        <v/>
      </c>
      <c r="Y32" s="11" t="str">
        <f aca="false">IF(AND($G32&lt;=Y$5,$H32&gt;=Y$4),"■","")</f>
        <v/>
      </c>
      <c r="Z32" s="11" t="str">
        <f aca="false">IF(AND($G32&lt;=Z$5,$H32&gt;=Z$4),"■","")</f>
        <v/>
      </c>
      <c r="AA32" s="11" t="str">
        <f aca="false">IF(AND($G32&lt;=AA$5,$H32&gt;=AA$4),"■","")</f>
        <v/>
      </c>
    </row>
    <row r="33" customFormat="false" ht="23.85" hidden="false" customHeight="false" outlineLevel="0" collapsed="false">
      <c r="A33" s="4" t="s">
        <v>307</v>
      </c>
      <c r="B33" s="4" t="s">
        <v>299</v>
      </c>
      <c r="C33" s="4" t="s">
        <v>308</v>
      </c>
      <c r="D33" s="4" t="s">
        <v>309</v>
      </c>
      <c r="E33" s="4" t="s">
        <v>32</v>
      </c>
      <c r="F33" s="15" t="s">
        <v>218</v>
      </c>
      <c r="G33" s="10" t="n">
        <v>5</v>
      </c>
      <c r="H33" s="10" t="n">
        <v>10</v>
      </c>
      <c r="I33" s="16" t="n">
        <f aca="false">IF(OR(LEFT($B33,2)="P0",$H33&lt;=$G$3),$H33,IF(LEFT($B33,2)="P9",$H33-$E$3+$C$3,ROUND($H33*$C$3/$E$3,0)))</f>
        <v>10</v>
      </c>
      <c r="J33" s="4"/>
      <c r="K33" s="4" t="s">
        <v>303</v>
      </c>
      <c r="L33" s="4" t="s">
        <v>310</v>
      </c>
      <c r="M33" s="11" t="str">
        <f aca="false">IF(AND($G33&lt;=M$5,$H33&gt;=M$4),"■","")</f>
        <v/>
      </c>
      <c r="N33" s="11" t="str">
        <f aca="false">IF(AND($G33&lt;=N$5,$H33&gt;=N$4),"■","")</f>
        <v>■</v>
      </c>
      <c r="O33" s="11" t="str">
        <f aca="false">IF(AND($G33&lt;=O$5,$H33&gt;=O$4),"■","")</f>
        <v>■</v>
      </c>
      <c r="P33" s="11" t="str">
        <f aca="false">IF(AND($G33&lt;=P$5,$H33&gt;=P$4),"■","")</f>
        <v/>
      </c>
      <c r="Q33" s="11" t="str">
        <f aca="false">IF(AND($G33&lt;=Q$5,$H33&gt;=Q$4),"■","")</f>
        <v/>
      </c>
      <c r="R33" s="11" t="str">
        <f aca="false">IF(AND($G33&lt;=R$5,$H33&gt;=R$4),"■","")</f>
        <v/>
      </c>
      <c r="S33" s="11" t="str">
        <f aca="false">IF(AND($G33&lt;=S$5,$H33&gt;=S$4),"■","")</f>
        <v/>
      </c>
      <c r="T33" s="11" t="str">
        <f aca="false">IF(AND($G33&lt;=T$5,$H33&gt;=T$4),"■","")</f>
        <v/>
      </c>
      <c r="U33" s="11" t="str">
        <f aca="false">IF(AND($G33&lt;=U$5,$H33&gt;=U$4),"■","")</f>
        <v/>
      </c>
      <c r="V33" s="11" t="str">
        <f aca="false">IF(AND($G33&lt;=V$5,$H33&gt;=V$4),"■","")</f>
        <v/>
      </c>
      <c r="W33" s="11" t="str">
        <f aca="false">IF(AND($G33&lt;=W$5,$H33&gt;=W$4),"■","")</f>
        <v/>
      </c>
      <c r="X33" s="11" t="str">
        <f aca="false">IF(AND($G33&lt;=X$5,$H33&gt;=X$4),"■","")</f>
        <v/>
      </c>
      <c r="Y33" s="11" t="str">
        <f aca="false">IF(AND($G33&lt;=Y$5,$H33&gt;=Y$4),"■","")</f>
        <v/>
      </c>
      <c r="Z33" s="11" t="str">
        <f aca="false">IF(AND($G33&lt;=Z$5,$H33&gt;=Z$4),"■","")</f>
        <v/>
      </c>
      <c r="AA33" s="11" t="str">
        <f aca="false">IF(AND($G33&lt;=AA$5,$H33&gt;=AA$4),"■","")</f>
        <v/>
      </c>
    </row>
    <row r="34" customFormat="false" ht="15" hidden="false" customHeight="false" outlineLevel="0" collapsed="false">
      <c r="A34" s="4" t="s">
        <v>311</v>
      </c>
      <c r="B34" s="4" t="s">
        <v>299</v>
      </c>
      <c r="C34" s="4" t="s">
        <v>312</v>
      </c>
      <c r="D34" s="4" t="s">
        <v>313</v>
      </c>
      <c r="E34" s="4" t="s">
        <v>32</v>
      </c>
      <c r="F34" s="15" t="s">
        <v>218</v>
      </c>
      <c r="G34" s="10" t="n">
        <v>6</v>
      </c>
      <c r="H34" s="10" t="n">
        <v>11</v>
      </c>
      <c r="I34" s="16" t="n">
        <f aca="false">IF(OR(LEFT($B34,2)="P0",$H34&lt;=$G$3),$H34,IF(LEFT($B34,2)="P9",$H34-$E$3+$C$3,ROUND($H34*$C$3/$E$3,0)))</f>
        <v>11</v>
      </c>
      <c r="J34" s="4"/>
      <c r="K34" s="4" t="s">
        <v>303</v>
      </c>
      <c r="L34" s="4" t="s">
        <v>314</v>
      </c>
      <c r="M34" s="11" t="str">
        <f aca="false">IF(AND($G34&lt;=M$5,$H34&gt;=M$4),"■","")</f>
        <v/>
      </c>
      <c r="N34" s="11" t="str">
        <f aca="false">IF(AND($G34&lt;=N$5,$H34&gt;=N$4),"■","")</f>
        <v>■</v>
      </c>
      <c r="O34" s="11" t="str">
        <f aca="false">IF(AND($G34&lt;=O$5,$H34&gt;=O$4),"■","")</f>
        <v>■</v>
      </c>
      <c r="P34" s="11" t="str">
        <f aca="false">IF(AND($G34&lt;=P$5,$H34&gt;=P$4),"■","")</f>
        <v/>
      </c>
      <c r="Q34" s="11" t="str">
        <f aca="false">IF(AND($G34&lt;=Q$5,$H34&gt;=Q$4),"■","")</f>
        <v/>
      </c>
      <c r="R34" s="11" t="str">
        <f aca="false">IF(AND($G34&lt;=R$5,$H34&gt;=R$4),"■","")</f>
        <v/>
      </c>
      <c r="S34" s="11" t="str">
        <f aca="false">IF(AND($G34&lt;=S$5,$H34&gt;=S$4),"■","")</f>
        <v/>
      </c>
      <c r="T34" s="11" t="str">
        <f aca="false">IF(AND($G34&lt;=T$5,$H34&gt;=T$4),"■","")</f>
        <v/>
      </c>
      <c r="U34" s="11" t="str">
        <f aca="false">IF(AND($G34&lt;=U$5,$H34&gt;=U$4),"■","")</f>
        <v/>
      </c>
      <c r="V34" s="11" t="str">
        <f aca="false">IF(AND($G34&lt;=V$5,$H34&gt;=V$4),"■","")</f>
        <v/>
      </c>
      <c r="W34" s="11" t="str">
        <f aca="false">IF(AND($G34&lt;=W$5,$H34&gt;=W$4),"■","")</f>
        <v/>
      </c>
      <c r="X34" s="11" t="str">
        <f aca="false">IF(AND($G34&lt;=X$5,$H34&gt;=X$4),"■","")</f>
        <v/>
      </c>
      <c r="Y34" s="11" t="str">
        <f aca="false">IF(AND($G34&lt;=Y$5,$H34&gt;=Y$4),"■","")</f>
        <v/>
      </c>
      <c r="Z34" s="11" t="str">
        <f aca="false">IF(AND($G34&lt;=Z$5,$H34&gt;=Z$4),"■","")</f>
        <v/>
      </c>
      <c r="AA34" s="11" t="str">
        <f aca="false">IF(AND($G34&lt;=AA$5,$H34&gt;=AA$4),"■","")</f>
        <v/>
      </c>
    </row>
    <row r="35" customFormat="false" ht="15" hidden="false" customHeight="false" outlineLevel="0" collapsed="false">
      <c r="A35" s="4" t="s">
        <v>315</v>
      </c>
      <c r="B35" s="4" t="s">
        <v>316</v>
      </c>
      <c r="C35" s="4" t="s">
        <v>317</v>
      </c>
      <c r="D35" s="4" t="s">
        <v>318</v>
      </c>
      <c r="E35" s="4" t="s">
        <v>32</v>
      </c>
      <c r="F35" s="15" t="s">
        <v>205</v>
      </c>
      <c r="G35" s="10" t="n">
        <v>7</v>
      </c>
      <c r="H35" s="10" t="n">
        <v>12</v>
      </c>
      <c r="I35" s="16" t="n">
        <f aca="false">IF(OR(LEFT($B35,2)="P0",$H35&lt;=$G$3),$H35,IF(LEFT($B35,2)="P9",$H35-$E$3+$C$3,ROUND($H35*$C$3/$E$3,0)))</f>
        <v>12</v>
      </c>
      <c r="J35" s="4"/>
      <c r="K35" s="4" t="s">
        <v>272</v>
      </c>
      <c r="L35" s="4" t="s">
        <v>319</v>
      </c>
      <c r="M35" s="11" t="str">
        <f aca="false">IF(AND($G35&lt;=M$5,$H35&gt;=M$4),"■","")</f>
        <v/>
      </c>
      <c r="N35" s="11" t="str">
        <f aca="false">IF(AND($G35&lt;=N$5,$H35&gt;=N$4),"■","")</f>
        <v/>
      </c>
      <c r="O35" s="11" t="str">
        <f aca="false">IF(AND($G35&lt;=O$5,$H35&gt;=O$4),"■","")</f>
        <v>■</v>
      </c>
      <c r="P35" s="11" t="str">
        <f aca="false">IF(AND($G35&lt;=P$5,$H35&gt;=P$4),"■","")</f>
        <v/>
      </c>
      <c r="Q35" s="11" t="str">
        <f aca="false">IF(AND($G35&lt;=Q$5,$H35&gt;=Q$4),"■","")</f>
        <v/>
      </c>
      <c r="R35" s="11" t="str">
        <f aca="false">IF(AND($G35&lt;=R$5,$H35&gt;=R$4),"■","")</f>
        <v/>
      </c>
      <c r="S35" s="11" t="str">
        <f aca="false">IF(AND($G35&lt;=S$5,$H35&gt;=S$4),"■","")</f>
        <v/>
      </c>
      <c r="T35" s="11" t="str">
        <f aca="false">IF(AND($G35&lt;=T$5,$H35&gt;=T$4),"■","")</f>
        <v/>
      </c>
      <c r="U35" s="11" t="str">
        <f aca="false">IF(AND($G35&lt;=U$5,$H35&gt;=U$4),"■","")</f>
        <v/>
      </c>
      <c r="V35" s="11" t="str">
        <f aca="false">IF(AND($G35&lt;=V$5,$H35&gt;=V$4),"■","")</f>
        <v/>
      </c>
      <c r="W35" s="11" t="str">
        <f aca="false">IF(AND($G35&lt;=W$5,$H35&gt;=W$4),"■","")</f>
        <v/>
      </c>
      <c r="X35" s="11" t="str">
        <f aca="false">IF(AND($G35&lt;=X$5,$H35&gt;=X$4),"■","")</f>
        <v/>
      </c>
      <c r="Y35" s="11" t="str">
        <f aca="false">IF(AND($G35&lt;=Y$5,$H35&gt;=Y$4),"■","")</f>
        <v/>
      </c>
      <c r="Z35" s="11" t="str">
        <f aca="false">IF(AND($G35&lt;=Z$5,$H35&gt;=Z$4),"■","")</f>
        <v/>
      </c>
      <c r="AA35" s="11" t="str">
        <f aca="false">IF(AND($G35&lt;=AA$5,$H35&gt;=AA$4),"■","")</f>
        <v/>
      </c>
    </row>
    <row r="36" customFormat="false" ht="23.85" hidden="false" customHeight="false" outlineLevel="0" collapsed="false">
      <c r="A36" s="4" t="s">
        <v>320</v>
      </c>
      <c r="B36" s="4" t="s">
        <v>316</v>
      </c>
      <c r="C36" s="4" t="s">
        <v>321</v>
      </c>
      <c r="D36" s="4" t="s">
        <v>322</v>
      </c>
      <c r="E36" s="4" t="s">
        <v>32</v>
      </c>
      <c r="F36" s="15" t="s">
        <v>205</v>
      </c>
      <c r="G36" s="10" t="n">
        <v>7</v>
      </c>
      <c r="H36" s="10" t="n">
        <v>14</v>
      </c>
      <c r="I36" s="16" t="n">
        <f aca="false">IF(OR(LEFT($B36,2)="P0",$H36&lt;=$G$3),$H36,IF(LEFT($B36,2)="P9",$H36-$E$3+$C$3,ROUND($H36*$C$3/$E$3,0)))</f>
        <v>14</v>
      </c>
      <c r="J36" s="4"/>
      <c r="K36" s="4" t="s">
        <v>281</v>
      </c>
      <c r="L36" s="4" t="s">
        <v>319</v>
      </c>
      <c r="M36" s="11" t="str">
        <f aca="false">IF(AND($G36&lt;=M$5,$H36&gt;=M$4),"■","")</f>
        <v/>
      </c>
      <c r="N36" s="11" t="str">
        <f aca="false">IF(AND($G36&lt;=N$5,$H36&gt;=N$4),"■","")</f>
        <v/>
      </c>
      <c r="O36" s="11" t="str">
        <f aca="false">IF(AND($G36&lt;=O$5,$H36&gt;=O$4),"■","")</f>
        <v>■</v>
      </c>
      <c r="P36" s="11" t="str">
        <f aca="false">IF(AND($G36&lt;=P$5,$H36&gt;=P$4),"■","")</f>
        <v>■</v>
      </c>
      <c r="Q36" s="11" t="str">
        <f aca="false">IF(AND($G36&lt;=Q$5,$H36&gt;=Q$4),"■","")</f>
        <v/>
      </c>
      <c r="R36" s="11" t="str">
        <f aca="false">IF(AND($G36&lt;=R$5,$H36&gt;=R$4),"■","")</f>
        <v/>
      </c>
      <c r="S36" s="11" t="str">
        <f aca="false">IF(AND($G36&lt;=S$5,$H36&gt;=S$4),"■","")</f>
        <v/>
      </c>
      <c r="T36" s="11" t="str">
        <f aca="false">IF(AND($G36&lt;=T$5,$H36&gt;=T$4),"■","")</f>
        <v/>
      </c>
      <c r="U36" s="11" t="str">
        <f aca="false">IF(AND($G36&lt;=U$5,$H36&gt;=U$4),"■","")</f>
        <v/>
      </c>
      <c r="V36" s="11" t="str">
        <f aca="false">IF(AND($G36&lt;=V$5,$H36&gt;=V$4),"■","")</f>
        <v/>
      </c>
      <c r="W36" s="11" t="str">
        <f aca="false">IF(AND($G36&lt;=W$5,$H36&gt;=W$4),"■","")</f>
        <v/>
      </c>
      <c r="X36" s="11" t="str">
        <f aca="false">IF(AND($G36&lt;=X$5,$H36&gt;=X$4),"■","")</f>
        <v/>
      </c>
      <c r="Y36" s="11" t="str">
        <f aca="false">IF(AND($G36&lt;=Y$5,$H36&gt;=Y$4),"■","")</f>
        <v/>
      </c>
      <c r="Z36" s="11" t="str">
        <f aca="false">IF(AND($G36&lt;=Z$5,$H36&gt;=Z$4),"■","")</f>
        <v/>
      </c>
      <c r="AA36" s="11" t="str">
        <f aca="false">IF(AND($G36&lt;=AA$5,$H36&gt;=AA$4),"■","")</f>
        <v/>
      </c>
    </row>
    <row r="37" customFormat="false" ht="23.85" hidden="false" customHeight="false" outlineLevel="0" collapsed="false">
      <c r="A37" s="4" t="s">
        <v>323</v>
      </c>
      <c r="B37" s="4" t="s">
        <v>316</v>
      </c>
      <c r="C37" s="4" t="s">
        <v>324</v>
      </c>
      <c r="D37" s="4" t="s">
        <v>325</v>
      </c>
      <c r="E37" s="4" t="s">
        <v>32</v>
      </c>
      <c r="F37" s="15" t="s">
        <v>205</v>
      </c>
      <c r="G37" s="10" t="n">
        <v>7</v>
      </c>
      <c r="H37" s="10" t="n">
        <v>18</v>
      </c>
      <c r="I37" s="16" t="n">
        <f aca="false">IF(OR(LEFT($B37,2)="P0",$H37&lt;=$G$3),$H37,IF(LEFT($B37,2)="P9",$H37-$E$3+$C$3,ROUND($H37*$C$3/$E$3,0)))</f>
        <v>18</v>
      </c>
      <c r="J37" s="4"/>
      <c r="K37" s="4" t="s">
        <v>281</v>
      </c>
      <c r="L37" s="4" t="s">
        <v>319</v>
      </c>
      <c r="M37" s="11" t="str">
        <f aca="false">IF(AND($G37&lt;=M$5,$H37&gt;=M$4),"■","")</f>
        <v/>
      </c>
      <c r="N37" s="11" t="str">
        <f aca="false">IF(AND($G37&lt;=N$5,$H37&gt;=N$4),"■","")</f>
        <v/>
      </c>
      <c r="O37" s="11" t="str">
        <f aca="false">IF(AND($G37&lt;=O$5,$H37&gt;=O$4),"■","")</f>
        <v>■</v>
      </c>
      <c r="P37" s="11" t="str">
        <f aca="false">IF(AND($G37&lt;=P$5,$H37&gt;=P$4),"■","")</f>
        <v>■</v>
      </c>
      <c r="Q37" s="11" t="str">
        <f aca="false">IF(AND($G37&lt;=Q$5,$H37&gt;=Q$4),"■","")</f>
        <v/>
      </c>
      <c r="R37" s="11" t="str">
        <f aca="false">IF(AND($G37&lt;=R$5,$H37&gt;=R$4),"■","")</f>
        <v/>
      </c>
      <c r="S37" s="11" t="str">
        <f aca="false">IF(AND($G37&lt;=S$5,$H37&gt;=S$4),"■","")</f>
        <v/>
      </c>
      <c r="T37" s="11" t="str">
        <f aca="false">IF(AND($G37&lt;=T$5,$H37&gt;=T$4),"■","")</f>
        <v/>
      </c>
      <c r="U37" s="11" t="str">
        <f aca="false">IF(AND($G37&lt;=U$5,$H37&gt;=U$4),"■","")</f>
        <v/>
      </c>
      <c r="V37" s="11" t="str">
        <f aca="false">IF(AND($G37&lt;=V$5,$H37&gt;=V$4),"■","")</f>
        <v/>
      </c>
      <c r="W37" s="11" t="str">
        <f aca="false">IF(AND($G37&lt;=W$5,$H37&gt;=W$4),"■","")</f>
        <v/>
      </c>
      <c r="X37" s="11" t="str">
        <f aca="false">IF(AND($G37&lt;=X$5,$H37&gt;=X$4),"■","")</f>
        <v/>
      </c>
      <c r="Y37" s="11" t="str">
        <f aca="false">IF(AND($G37&lt;=Y$5,$H37&gt;=Y$4),"■","")</f>
        <v/>
      </c>
      <c r="Z37" s="11" t="str">
        <f aca="false">IF(AND($G37&lt;=Z$5,$H37&gt;=Z$4),"■","")</f>
        <v/>
      </c>
      <c r="AA37" s="11" t="str">
        <f aca="false">IF(AND($G37&lt;=AA$5,$H37&gt;=AA$4),"■","")</f>
        <v/>
      </c>
    </row>
    <row r="38" customFormat="false" ht="23.85" hidden="false" customHeight="false" outlineLevel="0" collapsed="false">
      <c r="A38" s="4" t="s">
        <v>326</v>
      </c>
      <c r="B38" s="4" t="s">
        <v>316</v>
      </c>
      <c r="C38" s="4" t="s">
        <v>327</v>
      </c>
      <c r="D38" s="4" t="s">
        <v>328</v>
      </c>
      <c r="E38" s="4" t="s">
        <v>32</v>
      </c>
      <c r="F38" s="15" t="s">
        <v>205</v>
      </c>
      <c r="G38" s="10" t="n">
        <v>10</v>
      </c>
      <c r="H38" s="10" t="n">
        <v>18</v>
      </c>
      <c r="I38" s="16" t="n">
        <f aca="false">IF(OR(LEFT($B38,2)="P0",$H38&lt;=$G$3),$H38,IF(LEFT($B38,2)="P9",$H38-$E$3+$C$3,ROUND($H38*$C$3/$E$3,0)))</f>
        <v>18</v>
      </c>
      <c r="J38" s="4"/>
      <c r="K38" s="4" t="s">
        <v>284</v>
      </c>
      <c r="L38" s="4" t="s">
        <v>319</v>
      </c>
      <c r="M38" s="11" t="str">
        <f aca="false">IF(AND($G38&lt;=M$5,$H38&gt;=M$4),"■","")</f>
        <v/>
      </c>
      <c r="N38" s="11" t="str">
        <f aca="false">IF(AND($G38&lt;=N$5,$H38&gt;=N$4),"■","")</f>
        <v/>
      </c>
      <c r="O38" s="11" t="str">
        <f aca="false">IF(AND($G38&lt;=O$5,$H38&gt;=O$4),"■","")</f>
        <v>■</v>
      </c>
      <c r="P38" s="11" t="str">
        <f aca="false">IF(AND($G38&lt;=P$5,$H38&gt;=P$4),"■","")</f>
        <v>■</v>
      </c>
      <c r="Q38" s="11" t="str">
        <f aca="false">IF(AND($G38&lt;=Q$5,$H38&gt;=Q$4),"■","")</f>
        <v/>
      </c>
      <c r="R38" s="11" t="str">
        <f aca="false">IF(AND($G38&lt;=R$5,$H38&gt;=R$4),"■","")</f>
        <v/>
      </c>
      <c r="S38" s="11" t="str">
        <f aca="false">IF(AND($G38&lt;=S$5,$H38&gt;=S$4),"■","")</f>
        <v/>
      </c>
      <c r="T38" s="11" t="str">
        <f aca="false">IF(AND($G38&lt;=T$5,$H38&gt;=T$4),"■","")</f>
        <v/>
      </c>
      <c r="U38" s="11" t="str">
        <f aca="false">IF(AND($G38&lt;=U$5,$H38&gt;=U$4),"■","")</f>
        <v/>
      </c>
      <c r="V38" s="11" t="str">
        <f aca="false">IF(AND($G38&lt;=V$5,$H38&gt;=V$4),"■","")</f>
        <v/>
      </c>
      <c r="W38" s="11" t="str">
        <f aca="false">IF(AND($G38&lt;=W$5,$H38&gt;=W$4),"■","")</f>
        <v/>
      </c>
      <c r="X38" s="11" t="str">
        <f aca="false">IF(AND($G38&lt;=X$5,$H38&gt;=X$4),"■","")</f>
        <v/>
      </c>
      <c r="Y38" s="11" t="str">
        <f aca="false">IF(AND($G38&lt;=Y$5,$H38&gt;=Y$4),"■","")</f>
        <v/>
      </c>
      <c r="Z38" s="11" t="str">
        <f aca="false">IF(AND($G38&lt;=Z$5,$H38&gt;=Z$4),"■","")</f>
        <v/>
      </c>
      <c r="AA38" s="11" t="str">
        <f aca="false">IF(AND($G38&lt;=AA$5,$H38&gt;=AA$4),"■","")</f>
        <v/>
      </c>
    </row>
    <row r="39" customFormat="false" ht="23.85" hidden="false" customHeight="false" outlineLevel="0" collapsed="false">
      <c r="A39" s="4" t="s">
        <v>329</v>
      </c>
      <c r="B39" s="4" t="s">
        <v>316</v>
      </c>
      <c r="C39" s="4" t="s">
        <v>330</v>
      </c>
      <c r="D39" s="4" t="s">
        <v>331</v>
      </c>
      <c r="E39" s="4" t="s">
        <v>32</v>
      </c>
      <c r="F39" s="15" t="s">
        <v>205</v>
      </c>
      <c r="G39" s="10" t="n">
        <v>10</v>
      </c>
      <c r="H39" s="10" t="n">
        <v>21</v>
      </c>
      <c r="I39" s="16" t="n">
        <f aca="false">IF(OR(LEFT($B39,2)="P0",$H39&lt;=$G$3),$H39,IF(LEFT($B39,2)="P9",$H39-$E$3+$C$3,ROUND($H39*$C$3/$E$3,0)))</f>
        <v>21</v>
      </c>
      <c r="J39" s="4"/>
      <c r="K39" s="4" t="s">
        <v>291</v>
      </c>
      <c r="L39" s="4" t="s">
        <v>319</v>
      </c>
      <c r="M39" s="11" t="str">
        <f aca="false">IF(AND($G39&lt;=M$5,$H39&gt;=M$4),"■","")</f>
        <v/>
      </c>
      <c r="N39" s="11" t="str">
        <f aca="false">IF(AND($G39&lt;=N$5,$H39&gt;=N$4),"■","")</f>
        <v/>
      </c>
      <c r="O39" s="11" t="str">
        <f aca="false">IF(AND($G39&lt;=O$5,$H39&gt;=O$4),"■","")</f>
        <v>■</v>
      </c>
      <c r="P39" s="11" t="str">
        <f aca="false">IF(AND($G39&lt;=P$5,$H39&gt;=P$4),"■","")</f>
        <v>■</v>
      </c>
      <c r="Q39" s="11" t="str">
        <f aca="false">IF(AND($G39&lt;=Q$5,$H39&gt;=Q$4),"■","")</f>
        <v>■</v>
      </c>
      <c r="R39" s="11" t="str">
        <f aca="false">IF(AND($G39&lt;=R$5,$H39&gt;=R$4),"■","")</f>
        <v/>
      </c>
      <c r="S39" s="11" t="str">
        <f aca="false">IF(AND($G39&lt;=S$5,$H39&gt;=S$4),"■","")</f>
        <v/>
      </c>
      <c r="T39" s="11" t="str">
        <f aca="false">IF(AND($G39&lt;=T$5,$H39&gt;=T$4),"■","")</f>
        <v/>
      </c>
      <c r="U39" s="11" t="str">
        <f aca="false">IF(AND($G39&lt;=U$5,$H39&gt;=U$4),"■","")</f>
        <v/>
      </c>
      <c r="V39" s="11" t="str">
        <f aca="false">IF(AND($G39&lt;=V$5,$H39&gt;=V$4),"■","")</f>
        <v/>
      </c>
      <c r="W39" s="11" t="str">
        <f aca="false">IF(AND($G39&lt;=W$5,$H39&gt;=W$4),"■","")</f>
        <v/>
      </c>
      <c r="X39" s="11" t="str">
        <f aca="false">IF(AND($G39&lt;=X$5,$H39&gt;=X$4),"■","")</f>
        <v/>
      </c>
      <c r="Y39" s="11" t="str">
        <f aca="false">IF(AND($G39&lt;=Y$5,$H39&gt;=Y$4),"■","")</f>
        <v/>
      </c>
      <c r="Z39" s="11" t="str">
        <f aca="false">IF(AND($G39&lt;=Z$5,$H39&gt;=Z$4),"■","")</f>
        <v/>
      </c>
      <c r="AA39" s="11" t="str">
        <f aca="false">IF(AND($G39&lt;=AA$5,$H39&gt;=AA$4),"■","")</f>
        <v/>
      </c>
    </row>
    <row r="40" customFormat="false" ht="23.85" hidden="false" customHeight="false" outlineLevel="0" collapsed="false">
      <c r="A40" s="4" t="s">
        <v>332</v>
      </c>
      <c r="B40" s="4" t="s">
        <v>316</v>
      </c>
      <c r="C40" s="4" t="s">
        <v>333</v>
      </c>
      <c r="D40" s="4" t="s">
        <v>334</v>
      </c>
      <c r="E40" s="4" t="s">
        <v>32</v>
      </c>
      <c r="F40" s="15" t="s">
        <v>205</v>
      </c>
      <c r="G40" s="10" t="n">
        <v>8</v>
      </c>
      <c r="H40" s="10" t="n">
        <v>16</v>
      </c>
      <c r="I40" s="16" t="n">
        <f aca="false">IF(OR(LEFT($B40,2)="P0",$H40&lt;=$G$3),$H40,IF(LEFT($B40,2)="P9",$H40-$E$3+$C$3,ROUND($H40*$C$3/$E$3,0)))</f>
        <v>16</v>
      </c>
      <c r="J40" s="4"/>
      <c r="K40" s="4" t="s">
        <v>281</v>
      </c>
      <c r="L40" s="4" t="s">
        <v>319</v>
      </c>
      <c r="M40" s="11" t="str">
        <f aca="false">IF(AND($G40&lt;=M$5,$H40&gt;=M$4),"■","")</f>
        <v/>
      </c>
      <c r="N40" s="11" t="str">
        <f aca="false">IF(AND($G40&lt;=N$5,$H40&gt;=N$4),"■","")</f>
        <v/>
      </c>
      <c r="O40" s="11" t="str">
        <f aca="false">IF(AND($G40&lt;=O$5,$H40&gt;=O$4),"■","")</f>
        <v>■</v>
      </c>
      <c r="P40" s="11" t="str">
        <f aca="false">IF(AND($G40&lt;=P$5,$H40&gt;=P$4),"■","")</f>
        <v>■</v>
      </c>
      <c r="Q40" s="11" t="str">
        <f aca="false">IF(AND($G40&lt;=Q$5,$H40&gt;=Q$4),"■","")</f>
        <v/>
      </c>
      <c r="R40" s="11" t="str">
        <f aca="false">IF(AND($G40&lt;=R$5,$H40&gt;=R$4),"■","")</f>
        <v/>
      </c>
      <c r="S40" s="11" t="str">
        <f aca="false">IF(AND($G40&lt;=S$5,$H40&gt;=S$4),"■","")</f>
        <v/>
      </c>
      <c r="T40" s="11" t="str">
        <f aca="false">IF(AND($G40&lt;=T$5,$H40&gt;=T$4),"■","")</f>
        <v/>
      </c>
      <c r="U40" s="11" t="str">
        <f aca="false">IF(AND($G40&lt;=U$5,$H40&gt;=U$4),"■","")</f>
        <v/>
      </c>
      <c r="V40" s="11" t="str">
        <f aca="false">IF(AND($G40&lt;=V$5,$H40&gt;=V$4),"■","")</f>
        <v/>
      </c>
      <c r="W40" s="11" t="str">
        <f aca="false">IF(AND($G40&lt;=W$5,$H40&gt;=W$4),"■","")</f>
        <v/>
      </c>
      <c r="X40" s="11" t="str">
        <f aca="false">IF(AND($G40&lt;=X$5,$H40&gt;=X$4),"■","")</f>
        <v/>
      </c>
      <c r="Y40" s="11" t="str">
        <f aca="false">IF(AND($G40&lt;=Y$5,$H40&gt;=Y$4),"■","")</f>
        <v/>
      </c>
      <c r="Z40" s="11" t="str">
        <f aca="false">IF(AND($G40&lt;=Z$5,$H40&gt;=Z$4),"■","")</f>
        <v/>
      </c>
      <c r="AA40" s="11" t="str">
        <f aca="false">IF(AND($G40&lt;=AA$5,$H40&gt;=AA$4),"■","")</f>
        <v/>
      </c>
    </row>
    <row r="41" customFormat="false" ht="35.05" hidden="false" customHeight="false" outlineLevel="0" collapsed="false">
      <c r="A41" s="4" t="s">
        <v>335</v>
      </c>
      <c r="B41" s="4" t="s">
        <v>316</v>
      </c>
      <c r="C41" s="4" t="s">
        <v>336</v>
      </c>
      <c r="D41" s="4" t="s">
        <v>337</v>
      </c>
      <c r="E41" s="4" t="s">
        <v>32</v>
      </c>
      <c r="F41" s="15" t="s">
        <v>205</v>
      </c>
      <c r="G41" s="10" t="n">
        <v>14</v>
      </c>
      <c r="H41" s="10" t="n">
        <v>25</v>
      </c>
      <c r="I41" s="16" t="n">
        <f aca="false">IF(OR(LEFT($B41,2)="P0",$H41&lt;=$G$3),$H41,IF(LEFT($B41,2)="P9",$H41-$E$3+$C$3,ROUND($H41*$C$3/$E$3,0)))</f>
        <v>25</v>
      </c>
      <c r="J41" s="4"/>
      <c r="K41" s="4" t="s">
        <v>338</v>
      </c>
      <c r="L41" s="4" t="s">
        <v>319</v>
      </c>
      <c r="M41" s="11" t="str">
        <f aca="false">IF(AND($G41&lt;=M$5,$H41&gt;=M$4),"■","")</f>
        <v/>
      </c>
      <c r="N41" s="11" t="str">
        <f aca="false">IF(AND($G41&lt;=N$5,$H41&gt;=N$4),"■","")</f>
        <v/>
      </c>
      <c r="O41" s="11" t="str">
        <f aca="false">IF(AND($G41&lt;=O$5,$H41&gt;=O$4),"■","")</f>
        <v/>
      </c>
      <c r="P41" s="11" t="str">
        <f aca="false">IF(AND($G41&lt;=P$5,$H41&gt;=P$4),"■","")</f>
        <v>■</v>
      </c>
      <c r="Q41" s="11" t="str">
        <f aca="false">IF(AND($G41&lt;=Q$5,$H41&gt;=Q$4),"■","")</f>
        <v>■</v>
      </c>
      <c r="R41" s="11" t="str">
        <f aca="false">IF(AND($G41&lt;=R$5,$H41&gt;=R$4),"■","")</f>
        <v/>
      </c>
      <c r="S41" s="11" t="str">
        <f aca="false">IF(AND($G41&lt;=S$5,$H41&gt;=S$4),"■","")</f>
        <v/>
      </c>
      <c r="T41" s="11" t="str">
        <f aca="false">IF(AND($G41&lt;=T$5,$H41&gt;=T$4),"■","")</f>
        <v/>
      </c>
      <c r="U41" s="11" t="str">
        <f aca="false">IF(AND($G41&lt;=U$5,$H41&gt;=U$4),"■","")</f>
        <v/>
      </c>
      <c r="V41" s="11" t="str">
        <f aca="false">IF(AND($G41&lt;=V$5,$H41&gt;=V$4),"■","")</f>
        <v/>
      </c>
      <c r="W41" s="11" t="str">
        <f aca="false">IF(AND($G41&lt;=W$5,$H41&gt;=W$4),"■","")</f>
        <v/>
      </c>
      <c r="X41" s="11" t="str">
        <f aca="false">IF(AND($G41&lt;=X$5,$H41&gt;=X$4),"■","")</f>
        <v/>
      </c>
      <c r="Y41" s="11" t="str">
        <f aca="false">IF(AND($G41&lt;=Y$5,$H41&gt;=Y$4),"■","")</f>
        <v/>
      </c>
      <c r="Z41" s="11" t="str">
        <f aca="false">IF(AND($G41&lt;=Z$5,$H41&gt;=Z$4),"■","")</f>
        <v/>
      </c>
      <c r="AA41" s="11" t="str">
        <f aca="false">IF(AND($G41&lt;=AA$5,$H41&gt;=AA$4),"■","")</f>
        <v/>
      </c>
    </row>
    <row r="42" customFormat="false" ht="23.85" hidden="false" customHeight="false" outlineLevel="0" collapsed="false">
      <c r="A42" s="4" t="s">
        <v>339</v>
      </c>
      <c r="B42" s="4" t="s">
        <v>316</v>
      </c>
      <c r="C42" s="4" t="s">
        <v>340</v>
      </c>
      <c r="D42" s="4" t="s">
        <v>341</v>
      </c>
      <c r="E42" s="4" t="s">
        <v>32</v>
      </c>
      <c r="F42" s="15" t="s">
        <v>205</v>
      </c>
      <c r="G42" s="10" t="n">
        <v>14</v>
      </c>
      <c r="H42" s="10" t="n">
        <v>28</v>
      </c>
      <c r="I42" s="16" t="n">
        <f aca="false">IF(OR(LEFT($B42,2)="P0",$H42&lt;=$G$3),$H42,IF(LEFT($B42,2)="P9",$H42-$E$3+$C$3,ROUND($H42*$C$3/$E$3,0)))</f>
        <v>28</v>
      </c>
      <c r="J42" s="4"/>
      <c r="K42" s="4" t="s">
        <v>320</v>
      </c>
      <c r="L42" s="4" t="s">
        <v>319</v>
      </c>
      <c r="M42" s="11" t="str">
        <f aca="false">IF(AND($G42&lt;=M$5,$H42&gt;=M$4),"■","")</f>
        <v/>
      </c>
      <c r="N42" s="11" t="str">
        <f aca="false">IF(AND($G42&lt;=N$5,$H42&gt;=N$4),"■","")</f>
        <v/>
      </c>
      <c r="O42" s="11" t="str">
        <f aca="false">IF(AND($G42&lt;=O$5,$H42&gt;=O$4),"■","")</f>
        <v/>
      </c>
      <c r="P42" s="11" t="str">
        <f aca="false">IF(AND($G42&lt;=P$5,$H42&gt;=P$4),"■","")</f>
        <v>■</v>
      </c>
      <c r="Q42" s="11" t="str">
        <f aca="false">IF(AND($G42&lt;=Q$5,$H42&gt;=Q$4),"■","")</f>
        <v>■</v>
      </c>
      <c r="R42" s="11" t="str">
        <f aca="false">IF(AND($G42&lt;=R$5,$H42&gt;=R$4),"■","")</f>
        <v>■</v>
      </c>
      <c r="S42" s="11" t="str">
        <f aca="false">IF(AND($G42&lt;=S$5,$H42&gt;=S$4),"■","")</f>
        <v/>
      </c>
      <c r="T42" s="11" t="str">
        <f aca="false">IF(AND($G42&lt;=T$5,$H42&gt;=T$4),"■","")</f>
        <v/>
      </c>
      <c r="U42" s="11" t="str">
        <f aca="false">IF(AND($G42&lt;=U$5,$H42&gt;=U$4),"■","")</f>
        <v/>
      </c>
      <c r="V42" s="11" t="str">
        <f aca="false">IF(AND($G42&lt;=V$5,$H42&gt;=V$4),"■","")</f>
        <v/>
      </c>
      <c r="W42" s="11" t="str">
        <f aca="false">IF(AND($G42&lt;=W$5,$H42&gt;=W$4),"■","")</f>
        <v/>
      </c>
      <c r="X42" s="11" t="str">
        <f aca="false">IF(AND($G42&lt;=X$5,$H42&gt;=X$4),"■","")</f>
        <v/>
      </c>
      <c r="Y42" s="11" t="str">
        <f aca="false">IF(AND($G42&lt;=Y$5,$H42&gt;=Y$4),"■","")</f>
        <v/>
      </c>
      <c r="Z42" s="11" t="str">
        <f aca="false">IF(AND($G42&lt;=Z$5,$H42&gt;=Z$4),"■","")</f>
        <v/>
      </c>
      <c r="AA42" s="11" t="str">
        <f aca="false">IF(AND($G42&lt;=AA$5,$H42&gt;=AA$4),"■","")</f>
        <v/>
      </c>
    </row>
    <row r="43" customFormat="false" ht="23.85" hidden="false" customHeight="false" outlineLevel="0" collapsed="false">
      <c r="A43" s="4" t="s">
        <v>342</v>
      </c>
      <c r="B43" s="4" t="s">
        <v>316</v>
      </c>
      <c r="C43" s="4" t="s">
        <v>343</v>
      </c>
      <c r="D43" s="4" t="s">
        <v>344</v>
      </c>
      <c r="E43" s="4" t="s">
        <v>32</v>
      </c>
      <c r="F43" s="15" t="s">
        <v>205</v>
      </c>
      <c r="G43" s="10" t="n">
        <v>14</v>
      </c>
      <c r="H43" s="10" t="n">
        <v>28</v>
      </c>
      <c r="I43" s="16" t="n">
        <f aca="false">IF(OR(LEFT($B43,2)="P0",$H43&lt;=$G$3),$H43,IF(LEFT($B43,2)="P9",$H43-$E$3+$C$3,ROUND($H43*$C$3/$E$3,0)))</f>
        <v>28</v>
      </c>
      <c r="J43" s="4"/>
      <c r="K43" s="4" t="s">
        <v>281</v>
      </c>
      <c r="L43" s="4" t="s">
        <v>319</v>
      </c>
      <c r="M43" s="11" t="str">
        <f aca="false">IF(AND($G43&lt;=M$5,$H43&gt;=M$4),"■","")</f>
        <v/>
      </c>
      <c r="N43" s="11" t="str">
        <f aca="false">IF(AND($G43&lt;=N$5,$H43&gt;=N$4),"■","")</f>
        <v/>
      </c>
      <c r="O43" s="11" t="str">
        <f aca="false">IF(AND($G43&lt;=O$5,$H43&gt;=O$4),"■","")</f>
        <v/>
      </c>
      <c r="P43" s="11" t="str">
        <f aca="false">IF(AND($G43&lt;=P$5,$H43&gt;=P$4),"■","")</f>
        <v>■</v>
      </c>
      <c r="Q43" s="11" t="str">
        <f aca="false">IF(AND($G43&lt;=Q$5,$H43&gt;=Q$4),"■","")</f>
        <v>■</v>
      </c>
      <c r="R43" s="11" t="str">
        <f aca="false">IF(AND($G43&lt;=R$5,$H43&gt;=R$4),"■","")</f>
        <v>■</v>
      </c>
      <c r="S43" s="11" t="str">
        <f aca="false">IF(AND($G43&lt;=S$5,$H43&gt;=S$4),"■","")</f>
        <v/>
      </c>
      <c r="T43" s="11" t="str">
        <f aca="false">IF(AND($G43&lt;=T$5,$H43&gt;=T$4),"■","")</f>
        <v/>
      </c>
      <c r="U43" s="11" t="str">
        <f aca="false">IF(AND($G43&lt;=U$5,$H43&gt;=U$4),"■","")</f>
        <v/>
      </c>
      <c r="V43" s="11" t="str">
        <f aca="false">IF(AND($G43&lt;=V$5,$H43&gt;=V$4),"■","")</f>
        <v/>
      </c>
      <c r="W43" s="11" t="str">
        <f aca="false">IF(AND($G43&lt;=W$5,$H43&gt;=W$4),"■","")</f>
        <v/>
      </c>
      <c r="X43" s="11" t="str">
        <f aca="false">IF(AND($G43&lt;=X$5,$H43&gt;=X$4),"■","")</f>
        <v/>
      </c>
      <c r="Y43" s="11" t="str">
        <f aca="false">IF(AND($G43&lt;=Y$5,$H43&gt;=Y$4),"■","")</f>
        <v/>
      </c>
      <c r="Z43" s="11" t="str">
        <f aca="false">IF(AND($G43&lt;=Z$5,$H43&gt;=Z$4),"■","")</f>
        <v/>
      </c>
      <c r="AA43" s="11" t="str">
        <f aca="false">IF(AND($G43&lt;=AA$5,$H43&gt;=AA$4),"■","")</f>
        <v/>
      </c>
    </row>
    <row r="44" customFormat="false" ht="23.85" hidden="false" customHeight="false" outlineLevel="0" collapsed="false">
      <c r="A44" s="4" t="s">
        <v>345</v>
      </c>
      <c r="B44" s="4" t="s">
        <v>316</v>
      </c>
      <c r="C44" s="4" t="s">
        <v>346</v>
      </c>
      <c r="D44" s="4" t="s">
        <v>347</v>
      </c>
      <c r="E44" s="4" t="s">
        <v>32</v>
      </c>
      <c r="F44" s="15" t="s">
        <v>218</v>
      </c>
      <c r="G44" s="10" t="n">
        <v>18</v>
      </c>
      <c r="H44" s="10" t="n">
        <v>28</v>
      </c>
      <c r="I44" s="16" t="n">
        <f aca="false">IF(OR(LEFT($B44,2)="P0",$H44&lt;=$G$3),$H44,IF(LEFT($B44,2)="P9",$H44-$E$3+$C$3,ROUND($H44*$C$3/$E$3,0)))</f>
        <v>28</v>
      </c>
      <c r="J44" s="4"/>
      <c r="K44" s="4" t="s">
        <v>295</v>
      </c>
      <c r="L44" s="4" t="s">
        <v>348</v>
      </c>
      <c r="M44" s="11" t="str">
        <f aca="false">IF(AND($G44&lt;=M$5,$H44&gt;=M$4),"■","")</f>
        <v/>
      </c>
      <c r="N44" s="11" t="str">
        <f aca="false">IF(AND($G44&lt;=N$5,$H44&gt;=N$4),"■","")</f>
        <v/>
      </c>
      <c r="O44" s="11" t="str">
        <f aca="false">IF(AND($G44&lt;=O$5,$H44&gt;=O$4),"■","")</f>
        <v/>
      </c>
      <c r="P44" s="11" t="str">
        <f aca="false">IF(AND($G44&lt;=P$5,$H44&gt;=P$4),"■","")</f>
        <v>■</v>
      </c>
      <c r="Q44" s="11" t="str">
        <f aca="false">IF(AND($G44&lt;=Q$5,$H44&gt;=Q$4),"■","")</f>
        <v>■</v>
      </c>
      <c r="R44" s="11" t="str">
        <f aca="false">IF(AND($G44&lt;=R$5,$H44&gt;=R$4),"■","")</f>
        <v>■</v>
      </c>
      <c r="S44" s="11" t="str">
        <f aca="false">IF(AND($G44&lt;=S$5,$H44&gt;=S$4),"■","")</f>
        <v/>
      </c>
      <c r="T44" s="11" t="str">
        <f aca="false">IF(AND($G44&lt;=T$5,$H44&gt;=T$4),"■","")</f>
        <v/>
      </c>
      <c r="U44" s="11" t="str">
        <f aca="false">IF(AND($G44&lt;=U$5,$H44&gt;=U$4),"■","")</f>
        <v/>
      </c>
      <c r="V44" s="11" t="str">
        <f aca="false">IF(AND($G44&lt;=V$5,$H44&gt;=V$4),"■","")</f>
        <v/>
      </c>
      <c r="W44" s="11" t="str">
        <f aca="false">IF(AND($G44&lt;=W$5,$H44&gt;=W$4),"■","")</f>
        <v/>
      </c>
      <c r="X44" s="11" t="str">
        <f aca="false">IF(AND($G44&lt;=X$5,$H44&gt;=X$4),"■","")</f>
        <v/>
      </c>
      <c r="Y44" s="11" t="str">
        <f aca="false">IF(AND($G44&lt;=Y$5,$H44&gt;=Y$4),"■","")</f>
        <v/>
      </c>
      <c r="Z44" s="11" t="str">
        <f aca="false">IF(AND($G44&lt;=Z$5,$H44&gt;=Z$4),"■","")</f>
        <v/>
      </c>
      <c r="AA44" s="11" t="str">
        <f aca="false">IF(AND($G44&lt;=AA$5,$H44&gt;=AA$4),"■","")</f>
        <v/>
      </c>
    </row>
    <row r="45" customFormat="false" ht="23.85" hidden="false" customHeight="false" outlineLevel="0" collapsed="false">
      <c r="A45" s="4" t="s">
        <v>349</v>
      </c>
      <c r="B45" s="4" t="s">
        <v>316</v>
      </c>
      <c r="C45" s="4" t="s">
        <v>350</v>
      </c>
      <c r="D45" s="4" t="s">
        <v>351</v>
      </c>
      <c r="E45" s="4" t="s">
        <v>32</v>
      </c>
      <c r="F45" s="15" t="s">
        <v>205</v>
      </c>
      <c r="G45" s="10" t="n">
        <v>25</v>
      </c>
      <c r="H45" s="10" t="n">
        <v>30</v>
      </c>
      <c r="I45" s="16" t="n">
        <f aca="false">IF(OR(LEFT($B45,2)="P0",$H45&lt;=$G$3),$H45,IF(LEFT($B45,2)="P9",$H45-$E$3+$C$3,ROUND($H45*$C$3/$E$3,0)))</f>
        <v>30</v>
      </c>
      <c r="J45" s="4"/>
      <c r="K45" s="4" t="s">
        <v>352</v>
      </c>
      <c r="L45" s="4" t="s">
        <v>319</v>
      </c>
      <c r="M45" s="11" t="str">
        <f aca="false">IF(AND($G45&lt;=M$5,$H45&gt;=M$4),"■","")</f>
        <v/>
      </c>
      <c r="N45" s="11" t="str">
        <f aca="false">IF(AND($G45&lt;=N$5,$H45&gt;=N$4),"■","")</f>
        <v/>
      </c>
      <c r="O45" s="11" t="str">
        <f aca="false">IF(AND($G45&lt;=O$5,$H45&gt;=O$4),"■","")</f>
        <v/>
      </c>
      <c r="P45" s="11" t="str">
        <f aca="false">IF(AND($G45&lt;=P$5,$H45&gt;=P$4),"■","")</f>
        <v/>
      </c>
      <c r="Q45" s="11" t="str">
        <f aca="false">IF(AND($G45&lt;=Q$5,$H45&gt;=Q$4),"■","")</f>
        <v>■</v>
      </c>
      <c r="R45" s="11" t="str">
        <f aca="false">IF(AND($G45&lt;=R$5,$H45&gt;=R$4),"■","")</f>
        <v>■</v>
      </c>
      <c r="S45" s="11" t="str">
        <f aca="false">IF(AND($G45&lt;=S$5,$H45&gt;=S$4),"■","")</f>
        <v/>
      </c>
      <c r="T45" s="11" t="str">
        <f aca="false">IF(AND($G45&lt;=T$5,$H45&gt;=T$4),"■","")</f>
        <v/>
      </c>
      <c r="U45" s="11" t="str">
        <f aca="false">IF(AND($G45&lt;=U$5,$H45&gt;=U$4),"■","")</f>
        <v/>
      </c>
      <c r="V45" s="11" t="str">
        <f aca="false">IF(AND($G45&lt;=V$5,$H45&gt;=V$4),"■","")</f>
        <v/>
      </c>
      <c r="W45" s="11" t="str">
        <f aca="false">IF(AND($G45&lt;=W$5,$H45&gt;=W$4),"■","")</f>
        <v/>
      </c>
      <c r="X45" s="11" t="str">
        <f aca="false">IF(AND($G45&lt;=X$5,$H45&gt;=X$4),"■","")</f>
        <v/>
      </c>
      <c r="Y45" s="11" t="str">
        <f aca="false">IF(AND($G45&lt;=Y$5,$H45&gt;=Y$4),"■","")</f>
        <v/>
      </c>
      <c r="Z45" s="11" t="str">
        <f aca="false">IF(AND($G45&lt;=Z$5,$H45&gt;=Z$4),"■","")</f>
        <v/>
      </c>
      <c r="AA45" s="11" t="str">
        <f aca="false">IF(AND($G45&lt;=AA$5,$H45&gt;=AA$4),"■","")</f>
        <v/>
      </c>
    </row>
    <row r="46" customFormat="false" ht="15" hidden="false" customHeight="false" outlineLevel="0" collapsed="false">
      <c r="A46" s="4" t="s">
        <v>353</v>
      </c>
      <c r="B46" s="4" t="s">
        <v>316</v>
      </c>
      <c r="C46" s="4" t="s">
        <v>354</v>
      </c>
      <c r="D46" s="4" t="s">
        <v>355</v>
      </c>
      <c r="E46" s="4" t="s">
        <v>32</v>
      </c>
      <c r="F46" s="15" t="s">
        <v>218</v>
      </c>
      <c r="G46" s="10" t="n">
        <v>28</v>
      </c>
      <c r="H46" s="10" t="n">
        <v>30</v>
      </c>
      <c r="I46" s="16" t="n">
        <f aca="false">IF(OR(LEFT($B46,2)="P0",$H46&lt;=$G$3),$H46,IF(LEFT($B46,2)="P9",$H46-$E$3+$C$3,ROUND($H46*$C$3/$E$3,0)))</f>
        <v>30</v>
      </c>
      <c r="J46" s="4"/>
      <c r="K46" s="4" t="s">
        <v>349</v>
      </c>
      <c r="L46" s="4" t="s">
        <v>251</v>
      </c>
      <c r="M46" s="11" t="str">
        <f aca="false">IF(AND($G46&lt;=M$5,$H46&gt;=M$4),"■","")</f>
        <v/>
      </c>
      <c r="N46" s="11" t="str">
        <f aca="false">IF(AND($G46&lt;=N$5,$H46&gt;=N$4),"■","")</f>
        <v/>
      </c>
      <c r="O46" s="11" t="str">
        <f aca="false">IF(AND($G46&lt;=O$5,$H46&gt;=O$4),"■","")</f>
        <v/>
      </c>
      <c r="P46" s="11" t="str">
        <f aca="false">IF(AND($G46&lt;=P$5,$H46&gt;=P$4),"■","")</f>
        <v/>
      </c>
      <c r="Q46" s="11" t="str">
        <f aca="false">IF(AND($G46&lt;=Q$5,$H46&gt;=Q$4),"■","")</f>
        <v/>
      </c>
      <c r="R46" s="11" t="str">
        <f aca="false">IF(AND($G46&lt;=R$5,$H46&gt;=R$4),"■","")</f>
        <v>■</v>
      </c>
      <c r="S46" s="11" t="str">
        <f aca="false">IF(AND($G46&lt;=S$5,$H46&gt;=S$4),"■","")</f>
        <v/>
      </c>
      <c r="T46" s="11" t="str">
        <f aca="false">IF(AND($G46&lt;=T$5,$H46&gt;=T$4),"■","")</f>
        <v/>
      </c>
      <c r="U46" s="11" t="str">
        <f aca="false">IF(AND($G46&lt;=U$5,$H46&gt;=U$4),"■","")</f>
        <v/>
      </c>
      <c r="V46" s="11" t="str">
        <f aca="false">IF(AND($G46&lt;=V$5,$H46&gt;=V$4),"■","")</f>
        <v/>
      </c>
      <c r="W46" s="11" t="str">
        <f aca="false">IF(AND($G46&lt;=W$5,$H46&gt;=W$4),"■","")</f>
        <v/>
      </c>
      <c r="X46" s="11" t="str">
        <f aca="false">IF(AND($G46&lt;=X$5,$H46&gt;=X$4),"■","")</f>
        <v/>
      </c>
      <c r="Y46" s="11" t="str">
        <f aca="false">IF(AND($G46&lt;=Y$5,$H46&gt;=Y$4),"■","")</f>
        <v/>
      </c>
      <c r="Z46" s="11" t="str">
        <f aca="false">IF(AND($G46&lt;=Z$5,$H46&gt;=Z$4),"■","")</f>
        <v/>
      </c>
      <c r="AA46" s="11" t="str">
        <f aca="false">IF(AND($G46&lt;=AA$5,$H46&gt;=AA$4),"■","")</f>
        <v/>
      </c>
    </row>
    <row r="47" customFormat="false" ht="23.85" hidden="false" customHeight="false" outlineLevel="0" collapsed="false">
      <c r="A47" s="4" t="s">
        <v>356</v>
      </c>
      <c r="B47" s="4" t="s">
        <v>357</v>
      </c>
      <c r="C47" s="4" t="s">
        <v>358</v>
      </c>
      <c r="D47" s="4" t="s">
        <v>359</v>
      </c>
      <c r="E47" s="4" t="s">
        <v>32</v>
      </c>
      <c r="F47" s="15" t="s">
        <v>205</v>
      </c>
      <c r="G47" s="10" t="n">
        <v>21</v>
      </c>
      <c r="H47" s="10" t="n">
        <v>40</v>
      </c>
      <c r="I47" s="16" t="n">
        <f aca="false">IF(OR(LEFT($B47,2)="P0",$H47&lt;=$G$3),$H47,IF(LEFT($B47,2)="P9",$H47-$E$3+$C$3,ROUND($H47*$C$3/$E$3,0)))</f>
        <v>40</v>
      </c>
      <c r="J47" s="4"/>
      <c r="K47" s="4" t="s">
        <v>360</v>
      </c>
      <c r="L47" s="4" t="s">
        <v>361</v>
      </c>
      <c r="M47" s="11" t="str">
        <f aca="false">IF(AND($G47&lt;=M$5,$H47&gt;=M$4),"■","")</f>
        <v/>
      </c>
      <c r="N47" s="11" t="str">
        <f aca="false">IF(AND($G47&lt;=N$5,$H47&gt;=N$4),"■","")</f>
        <v/>
      </c>
      <c r="O47" s="11" t="str">
        <f aca="false">IF(AND($G47&lt;=O$5,$H47&gt;=O$4),"■","")</f>
        <v/>
      </c>
      <c r="P47" s="11" t="str">
        <f aca="false">IF(AND($G47&lt;=P$5,$H47&gt;=P$4),"■","")</f>
        <v/>
      </c>
      <c r="Q47" s="11" t="str">
        <f aca="false">IF(AND($G47&lt;=Q$5,$H47&gt;=Q$4),"■","")</f>
        <v>■</v>
      </c>
      <c r="R47" s="11" t="str">
        <f aca="false">IF(AND($G47&lt;=R$5,$H47&gt;=R$4),"■","")</f>
        <v>■</v>
      </c>
      <c r="S47" s="11" t="str">
        <f aca="false">IF(AND($G47&lt;=S$5,$H47&gt;=S$4),"■","")</f>
        <v>■</v>
      </c>
      <c r="T47" s="11" t="str">
        <f aca="false">IF(AND($G47&lt;=T$5,$H47&gt;=T$4),"■","")</f>
        <v/>
      </c>
      <c r="U47" s="11" t="str">
        <f aca="false">IF(AND($G47&lt;=U$5,$H47&gt;=U$4),"■","")</f>
        <v/>
      </c>
      <c r="V47" s="11" t="str">
        <f aca="false">IF(AND($G47&lt;=V$5,$H47&gt;=V$4),"■","")</f>
        <v/>
      </c>
      <c r="W47" s="11" t="str">
        <f aca="false">IF(AND($G47&lt;=W$5,$H47&gt;=W$4),"■","")</f>
        <v/>
      </c>
      <c r="X47" s="11" t="str">
        <f aca="false">IF(AND($G47&lt;=X$5,$H47&gt;=X$4),"■","")</f>
        <v/>
      </c>
      <c r="Y47" s="11" t="str">
        <f aca="false">IF(AND($G47&lt;=Y$5,$H47&gt;=Y$4),"■","")</f>
        <v/>
      </c>
      <c r="Z47" s="11" t="str">
        <f aca="false">IF(AND($G47&lt;=Z$5,$H47&gt;=Z$4),"■","")</f>
        <v/>
      </c>
      <c r="AA47" s="11" t="str">
        <f aca="false">IF(AND($G47&lt;=AA$5,$H47&gt;=AA$4),"■","")</f>
        <v/>
      </c>
    </row>
    <row r="48" customFormat="false" ht="23.85" hidden="false" customHeight="false" outlineLevel="0" collapsed="false">
      <c r="A48" s="4" t="s">
        <v>362</v>
      </c>
      <c r="B48" s="4" t="s">
        <v>357</v>
      </c>
      <c r="C48" s="4" t="s">
        <v>363</v>
      </c>
      <c r="D48" s="4" t="s">
        <v>364</v>
      </c>
      <c r="E48" s="4" t="s">
        <v>32</v>
      </c>
      <c r="F48" s="15" t="s">
        <v>218</v>
      </c>
      <c r="G48" s="10" t="n">
        <v>30</v>
      </c>
      <c r="H48" s="10" t="n">
        <v>55</v>
      </c>
      <c r="I48" s="16" t="n">
        <f aca="false">IF(OR(LEFT($B48,2)="P0",$H48&lt;=$G$3),$H48,IF(LEFT($B48,2)="P9",$H48-$E$3+$C$3,ROUND($H48*$C$3/$E$3,0)))</f>
        <v>55</v>
      </c>
      <c r="J48" s="4"/>
      <c r="K48" s="4" t="s">
        <v>365</v>
      </c>
      <c r="L48" s="4" t="s">
        <v>366</v>
      </c>
      <c r="M48" s="11" t="str">
        <f aca="false">IF(AND($G48&lt;=M$5,$H48&gt;=M$4),"■","")</f>
        <v/>
      </c>
      <c r="N48" s="11" t="str">
        <f aca="false">IF(AND($G48&lt;=N$5,$H48&gt;=N$4),"■","")</f>
        <v/>
      </c>
      <c r="O48" s="11" t="str">
        <f aca="false">IF(AND($G48&lt;=O$5,$H48&gt;=O$4),"■","")</f>
        <v/>
      </c>
      <c r="P48" s="11" t="str">
        <f aca="false">IF(AND($G48&lt;=P$5,$H48&gt;=P$4),"■","")</f>
        <v/>
      </c>
      <c r="Q48" s="11" t="str">
        <f aca="false">IF(AND($G48&lt;=Q$5,$H48&gt;=Q$4),"■","")</f>
        <v/>
      </c>
      <c r="R48" s="11" t="str">
        <f aca="false">IF(AND($G48&lt;=R$5,$H48&gt;=R$4),"■","")</f>
        <v>■</v>
      </c>
      <c r="S48" s="11" t="str">
        <f aca="false">IF(AND($G48&lt;=S$5,$H48&gt;=S$4),"■","")</f>
        <v>■</v>
      </c>
      <c r="T48" s="11" t="str">
        <f aca="false">IF(AND($G48&lt;=T$5,$H48&gt;=T$4),"■","")</f>
        <v>■</v>
      </c>
      <c r="U48" s="11" t="str">
        <f aca="false">IF(AND($G48&lt;=U$5,$H48&gt;=U$4),"■","")</f>
        <v>■</v>
      </c>
      <c r="V48" s="11" t="str">
        <f aca="false">IF(AND($G48&lt;=V$5,$H48&gt;=V$4),"■","")</f>
        <v/>
      </c>
      <c r="W48" s="11" t="str">
        <f aca="false">IF(AND($G48&lt;=W$5,$H48&gt;=W$4),"■","")</f>
        <v/>
      </c>
      <c r="X48" s="11" t="str">
        <f aca="false">IF(AND($G48&lt;=X$5,$H48&gt;=X$4),"■","")</f>
        <v/>
      </c>
      <c r="Y48" s="11" t="str">
        <f aca="false">IF(AND($G48&lt;=Y$5,$H48&gt;=Y$4),"■","")</f>
        <v/>
      </c>
      <c r="Z48" s="11" t="str">
        <f aca="false">IF(AND($G48&lt;=Z$5,$H48&gt;=Z$4),"■","")</f>
        <v/>
      </c>
      <c r="AA48" s="11" t="str">
        <f aca="false">IF(AND($G48&lt;=AA$5,$H48&gt;=AA$4),"■","")</f>
        <v/>
      </c>
    </row>
    <row r="49" customFormat="false" ht="35.05" hidden="false" customHeight="false" outlineLevel="0" collapsed="false">
      <c r="A49" s="4" t="s">
        <v>367</v>
      </c>
      <c r="B49" s="4" t="s">
        <v>357</v>
      </c>
      <c r="C49" s="4" t="s">
        <v>368</v>
      </c>
      <c r="D49" s="4" t="s">
        <v>369</v>
      </c>
      <c r="E49" s="4" t="s">
        <v>32</v>
      </c>
      <c r="F49" s="15" t="s">
        <v>218</v>
      </c>
      <c r="G49" s="10" t="n">
        <v>35</v>
      </c>
      <c r="H49" s="10" t="n">
        <v>60</v>
      </c>
      <c r="I49" s="16" t="n">
        <f aca="false">IF(OR(LEFT($B49,2)="P0",$H49&lt;=$G$3),$H49,IF(LEFT($B49,2)="P9",$H49-$E$3+$C$3,ROUND($H49*$C$3/$E$3,0)))</f>
        <v>60</v>
      </c>
      <c r="J49" s="4"/>
      <c r="K49" s="4" t="s">
        <v>362</v>
      </c>
      <c r="L49" s="4" t="s">
        <v>370</v>
      </c>
      <c r="M49" s="11" t="str">
        <f aca="false">IF(AND($G49&lt;=M$5,$H49&gt;=M$4),"■","")</f>
        <v/>
      </c>
      <c r="N49" s="11" t="str">
        <f aca="false">IF(AND($G49&lt;=N$5,$H49&gt;=N$4),"■","")</f>
        <v/>
      </c>
      <c r="O49" s="11" t="str">
        <f aca="false">IF(AND($G49&lt;=O$5,$H49&gt;=O$4),"■","")</f>
        <v/>
      </c>
      <c r="P49" s="11" t="str">
        <f aca="false">IF(AND($G49&lt;=P$5,$H49&gt;=P$4),"■","")</f>
        <v/>
      </c>
      <c r="Q49" s="11" t="str">
        <f aca="false">IF(AND($G49&lt;=Q$5,$H49&gt;=Q$4),"■","")</f>
        <v/>
      </c>
      <c r="R49" s="11" t="str">
        <f aca="false">IF(AND($G49&lt;=R$5,$H49&gt;=R$4),"■","")</f>
        <v/>
      </c>
      <c r="S49" s="11" t="str">
        <f aca="false">IF(AND($G49&lt;=S$5,$H49&gt;=S$4),"■","")</f>
        <v>■</v>
      </c>
      <c r="T49" s="11" t="str">
        <f aca="false">IF(AND($G49&lt;=T$5,$H49&gt;=T$4),"■","")</f>
        <v>■</v>
      </c>
      <c r="U49" s="11" t="str">
        <f aca="false">IF(AND($G49&lt;=U$5,$H49&gt;=U$4),"■","")</f>
        <v>■</v>
      </c>
      <c r="V49" s="11" t="str">
        <f aca="false">IF(AND($G49&lt;=V$5,$H49&gt;=V$4),"■","")</f>
        <v>■</v>
      </c>
      <c r="W49" s="11" t="str">
        <f aca="false">IF(AND($G49&lt;=W$5,$H49&gt;=W$4),"■","")</f>
        <v/>
      </c>
      <c r="X49" s="11" t="str">
        <f aca="false">IF(AND($G49&lt;=X$5,$H49&gt;=X$4),"■","")</f>
        <v/>
      </c>
      <c r="Y49" s="11" t="str">
        <f aca="false">IF(AND($G49&lt;=Y$5,$H49&gt;=Y$4),"■","")</f>
        <v/>
      </c>
      <c r="Z49" s="11" t="str">
        <f aca="false">IF(AND($G49&lt;=Z$5,$H49&gt;=Z$4),"■","")</f>
        <v/>
      </c>
      <c r="AA49" s="11" t="str">
        <f aca="false">IF(AND($G49&lt;=AA$5,$H49&gt;=AA$4),"■","")</f>
        <v/>
      </c>
    </row>
    <row r="50" customFormat="false" ht="35.05" hidden="false" customHeight="false" outlineLevel="0" collapsed="false">
      <c r="A50" s="4" t="s">
        <v>371</v>
      </c>
      <c r="B50" s="4" t="s">
        <v>357</v>
      </c>
      <c r="C50" s="4" t="s">
        <v>372</v>
      </c>
      <c r="D50" s="4" t="s">
        <v>373</v>
      </c>
      <c r="E50" s="4" t="s">
        <v>32</v>
      </c>
      <c r="F50" s="15" t="s">
        <v>205</v>
      </c>
      <c r="G50" s="10" t="n">
        <v>35</v>
      </c>
      <c r="H50" s="10" t="n">
        <v>60</v>
      </c>
      <c r="I50" s="16" t="n">
        <f aca="false">IF(OR(LEFT($B50,2)="P0",$H50&lt;=$G$3),$H50,IF(LEFT($B50,2)="P9",$H50-$E$3+$C$3,ROUND($H50*$C$3/$E$3,0)))</f>
        <v>60</v>
      </c>
      <c r="J50" s="4"/>
      <c r="K50" s="4" t="s">
        <v>326</v>
      </c>
      <c r="L50" s="4" t="s">
        <v>374</v>
      </c>
      <c r="M50" s="11" t="str">
        <f aca="false">IF(AND($G50&lt;=M$5,$H50&gt;=M$4),"■","")</f>
        <v/>
      </c>
      <c r="N50" s="11" t="str">
        <f aca="false">IF(AND($G50&lt;=N$5,$H50&gt;=N$4),"■","")</f>
        <v/>
      </c>
      <c r="O50" s="11" t="str">
        <f aca="false">IF(AND($G50&lt;=O$5,$H50&gt;=O$4),"■","")</f>
        <v/>
      </c>
      <c r="P50" s="11" t="str">
        <f aca="false">IF(AND($G50&lt;=P$5,$H50&gt;=P$4),"■","")</f>
        <v/>
      </c>
      <c r="Q50" s="11" t="str">
        <f aca="false">IF(AND($G50&lt;=Q$5,$H50&gt;=Q$4),"■","")</f>
        <v/>
      </c>
      <c r="R50" s="11" t="str">
        <f aca="false">IF(AND($G50&lt;=R$5,$H50&gt;=R$4),"■","")</f>
        <v/>
      </c>
      <c r="S50" s="11" t="str">
        <f aca="false">IF(AND($G50&lt;=S$5,$H50&gt;=S$4),"■","")</f>
        <v>■</v>
      </c>
      <c r="T50" s="11" t="str">
        <f aca="false">IF(AND($G50&lt;=T$5,$H50&gt;=T$4),"■","")</f>
        <v>■</v>
      </c>
      <c r="U50" s="11" t="str">
        <f aca="false">IF(AND($G50&lt;=U$5,$H50&gt;=U$4),"■","")</f>
        <v>■</v>
      </c>
      <c r="V50" s="11" t="str">
        <f aca="false">IF(AND($G50&lt;=V$5,$H50&gt;=V$4),"■","")</f>
        <v>■</v>
      </c>
      <c r="W50" s="11" t="str">
        <f aca="false">IF(AND($G50&lt;=W$5,$H50&gt;=W$4),"■","")</f>
        <v/>
      </c>
      <c r="X50" s="11" t="str">
        <f aca="false">IF(AND($G50&lt;=X$5,$H50&gt;=X$4),"■","")</f>
        <v/>
      </c>
      <c r="Y50" s="11" t="str">
        <f aca="false">IF(AND($G50&lt;=Y$5,$H50&gt;=Y$4),"■","")</f>
        <v/>
      </c>
      <c r="Z50" s="11" t="str">
        <f aca="false">IF(AND($G50&lt;=Z$5,$H50&gt;=Z$4),"■","")</f>
        <v/>
      </c>
      <c r="AA50" s="11" t="str">
        <f aca="false">IF(AND($G50&lt;=AA$5,$H50&gt;=AA$4),"■","")</f>
        <v/>
      </c>
    </row>
    <row r="51" customFormat="false" ht="23.85" hidden="false" customHeight="false" outlineLevel="0" collapsed="false">
      <c r="A51" s="4" t="s">
        <v>375</v>
      </c>
      <c r="B51" s="4" t="s">
        <v>357</v>
      </c>
      <c r="C51" s="4" t="s">
        <v>376</v>
      </c>
      <c r="D51" s="4" t="s">
        <v>377</v>
      </c>
      <c r="E51" s="4" t="s">
        <v>32</v>
      </c>
      <c r="F51" s="15" t="s">
        <v>205</v>
      </c>
      <c r="G51" s="10" t="n">
        <v>30</v>
      </c>
      <c r="H51" s="10" t="n">
        <v>60</v>
      </c>
      <c r="I51" s="16" t="n">
        <f aca="false">IF(OR(LEFT($B51,2)="P0",$H51&lt;=$G$3),$H51,IF(LEFT($B51,2)="P9",$H51-$E$3+$C$3,ROUND($H51*$C$3/$E$3,0)))</f>
        <v>60</v>
      </c>
      <c r="J51" s="4"/>
      <c r="K51" s="4" t="s">
        <v>342</v>
      </c>
      <c r="L51" s="4" t="s">
        <v>378</v>
      </c>
      <c r="M51" s="11" t="str">
        <f aca="false">IF(AND($G51&lt;=M$5,$H51&gt;=M$4),"■","")</f>
        <v/>
      </c>
      <c r="N51" s="11" t="str">
        <f aca="false">IF(AND($G51&lt;=N$5,$H51&gt;=N$4),"■","")</f>
        <v/>
      </c>
      <c r="O51" s="11" t="str">
        <f aca="false">IF(AND($G51&lt;=O$5,$H51&gt;=O$4),"■","")</f>
        <v/>
      </c>
      <c r="P51" s="11" t="str">
        <f aca="false">IF(AND($G51&lt;=P$5,$H51&gt;=P$4),"■","")</f>
        <v/>
      </c>
      <c r="Q51" s="11" t="str">
        <f aca="false">IF(AND($G51&lt;=Q$5,$H51&gt;=Q$4),"■","")</f>
        <v/>
      </c>
      <c r="R51" s="11" t="str">
        <f aca="false">IF(AND($G51&lt;=R$5,$H51&gt;=R$4),"■","")</f>
        <v>■</v>
      </c>
      <c r="S51" s="11" t="str">
        <f aca="false">IF(AND($G51&lt;=S$5,$H51&gt;=S$4),"■","")</f>
        <v>■</v>
      </c>
      <c r="T51" s="11" t="str">
        <f aca="false">IF(AND($G51&lt;=T$5,$H51&gt;=T$4),"■","")</f>
        <v>■</v>
      </c>
      <c r="U51" s="11" t="str">
        <f aca="false">IF(AND($G51&lt;=U$5,$H51&gt;=U$4),"■","")</f>
        <v>■</v>
      </c>
      <c r="V51" s="11" t="str">
        <f aca="false">IF(AND($G51&lt;=V$5,$H51&gt;=V$4),"■","")</f>
        <v>■</v>
      </c>
      <c r="W51" s="11" t="str">
        <f aca="false">IF(AND($G51&lt;=W$5,$H51&gt;=W$4),"■","")</f>
        <v/>
      </c>
      <c r="X51" s="11" t="str">
        <f aca="false">IF(AND($G51&lt;=X$5,$H51&gt;=X$4),"■","")</f>
        <v/>
      </c>
      <c r="Y51" s="11" t="str">
        <f aca="false">IF(AND($G51&lt;=Y$5,$H51&gt;=Y$4),"■","")</f>
        <v/>
      </c>
      <c r="Z51" s="11" t="str">
        <f aca="false">IF(AND($G51&lt;=Z$5,$H51&gt;=Z$4),"■","")</f>
        <v/>
      </c>
      <c r="AA51" s="11" t="str">
        <f aca="false">IF(AND($G51&lt;=AA$5,$H51&gt;=AA$4),"■","")</f>
        <v/>
      </c>
    </row>
    <row r="52" customFormat="false" ht="23.85" hidden="false" customHeight="false" outlineLevel="0" collapsed="false">
      <c r="A52" s="4" t="s">
        <v>379</v>
      </c>
      <c r="B52" s="4" t="s">
        <v>357</v>
      </c>
      <c r="C52" s="4" t="s">
        <v>380</v>
      </c>
      <c r="D52" s="4" t="s">
        <v>381</v>
      </c>
      <c r="E52" s="4" t="s">
        <v>32</v>
      </c>
      <c r="F52" s="15" t="s">
        <v>218</v>
      </c>
      <c r="G52" s="10" t="n">
        <v>25</v>
      </c>
      <c r="H52" s="10" t="n">
        <v>50</v>
      </c>
      <c r="I52" s="16" t="n">
        <f aca="false">IF(OR(LEFT($B52,2)="P0",$H52&lt;=$G$3),$H52,IF(LEFT($B52,2)="P9",$H52-$E$3+$C$3,ROUND($H52*$C$3/$E$3,0)))</f>
        <v>50</v>
      </c>
      <c r="J52" s="4"/>
      <c r="K52" s="4" t="s">
        <v>382</v>
      </c>
      <c r="L52" s="4" t="s">
        <v>319</v>
      </c>
      <c r="M52" s="11" t="str">
        <f aca="false">IF(AND($G52&lt;=M$5,$H52&gt;=M$4),"■","")</f>
        <v/>
      </c>
      <c r="N52" s="11" t="str">
        <f aca="false">IF(AND($G52&lt;=N$5,$H52&gt;=N$4),"■","")</f>
        <v/>
      </c>
      <c r="O52" s="11" t="str">
        <f aca="false">IF(AND($G52&lt;=O$5,$H52&gt;=O$4),"■","")</f>
        <v/>
      </c>
      <c r="P52" s="11" t="str">
        <f aca="false">IF(AND($G52&lt;=P$5,$H52&gt;=P$4),"■","")</f>
        <v/>
      </c>
      <c r="Q52" s="11" t="str">
        <f aca="false">IF(AND($G52&lt;=Q$5,$H52&gt;=Q$4),"■","")</f>
        <v>■</v>
      </c>
      <c r="R52" s="11" t="str">
        <f aca="false">IF(AND($G52&lt;=R$5,$H52&gt;=R$4),"■","")</f>
        <v>■</v>
      </c>
      <c r="S52" s="11" t="str">
        <f aca="false">IF(AND($G52&lt;=S$5,$H52&gt;=S$4),"■","")</f>
        <v>■</v>
      </c>
      <c r="T52" s="11" t="str">
        <f aca="false">IF(AND($G52&lt;=T$5,$H52&gt;=T$4),"■","")</f>
        <v>■</v>
      </c>
      <c r="U52" s="11" t="str">
        <f aca="false">IF(AND($G52&lt;=U$5,$H52&gt;=U$4),"■","")</f>
        <v>■</v>
      </c>
      <c r="V52" s="11" t="str">
        <f aca="false">IF(AND($G52&lt;=V$5,$H52&gt;=V$4),"■","")</f>
        <v/>
      </c>
      <c r="W52" s="11" t="str">
        <f aca="false">IF(AND($G52&lt;=W$5,$H52&gt;=W$4),"■","")</f>
        <v/>
      </c>
      <c r="X52" s="11" t="str">
        <f aca="false">IF(AND($G52&lt;=X$5,$H52&gt;=X$4),"■","")</f>
        <v/>
      </c>
      <c r="Y52" s="11" t="str">
        <f aca="false">IF(AND($G52&lt;=Y$5,$H52&gt;=Y$4),"■","")</f>
        <v/>
      </c>
      <c r="Z52" s="11" t="str">
        <f aca="false">IF(AND($G52&lt;=Z$5,$H52&gt;=Z$4),"■","")</f>
        <v/>
      </c>
      <c r="AA52" s="11" t="str">
        <f aca="false">IF(AND($G52&lt;=AA$5,$H52&gt;=AA$4),"■","")</f>
        <v/>
      </c>
    </row>
    <row r="53" customFormat="false" ht="23.85" hidden="false" customHeight="false" outlineLevel="0" collapsed="false">
      <c r="A53" s="4" t="s">
        <v>383</v>
      </c>
      <c r="B53" s="4" t="s">
        <v>357</v>
      </c>
      <c r="C53" s="4" t="s">
        <v>384</v>
      </c>
      <c r="D53" s="4" t="s">
        <v>385</v>
      </c>
      <c r="E53" s="4" t="s">
        <v>32</v>
      </c>
      <c r="F53" s="15" t="s">
        <v>218</v>
      </c>
      <c r="G53" s="10" t="n">
        <v>30</v>
      </c>
      <c r="H53" s="10" t="n">
        <v>60</v>
      </c>
      <c r="I53" s="16" t="n">
        <f aca="false">IF(OR(LEFT($B53,2)="P0",$H53&lt;=$G$3),$H53,IF(LEFT($B53,2)="P9",$H53-$E$3+$C$3,ROUND($H53*$C$3/$E$3,0)))</f>
        <v>60</v>
      </c>
      <c r="J53" s="4"/>
      <c r="K53" s="4" t="s">
        <v>339</v>
      </c>
      <c r="L53" s="4" t="s">
        <v>319</v>
      </c>
      <c r="M53" s="11" t="str">
        <f aca="false">IF(AND($G53&lt;=M$5,$H53&gt;=M$4),"■","")</f>
        <v/>
      </c>
      <c r="N53" s="11" t="str">
        <f aca="false">IF(AND($G53&lt;=N$5,$H53&gt;=N$4),"■","")</f>
        <v/>
      </c>
      <c r="O53" s="11" t="str">
        <f aca="false">IF(AND($G53&lt;=O$5,$H53&gt;=O$4),"■","")</f>
        <v/>
      </c>
      <c r="P53" s="11" t="str">
        <f aca="false">IF(AND($G53&lt;=P$5,$H53&gt;=P$4),"■","")</f>
        <v/>
      </c>
      <c r="Q53" s="11" t="str">
        <f aca="false">IF(AND($G53&lt;=Q$5,$H53&gt;=Q$4),"■","")</f>
        <v/>
      </c>
      <c r="R53" s="11" t="str">
        <f aca="false">IF(AND($G53&lt;=R$5,$H53&gt;=R$4),"■","")</f>
        <v>■</v>
      </c>
      <c r="S53" s="11" t="str">
        <f aca="false">IF(AND($G53&lt;=S$5,$H53&gt;=S$4),"■","")</f>
        <v>■</v>
      </c>
      <c r="T53" s="11" t="str">
        <f aca="false">IF(AND($G53&lt;=T$5,$H53&gt;=T$4),"■","")</f>
        <v>■</v>
      </c>
      <c r="U53" s="11" t="str">
        <f aca="false">IF(AND($G53&lt;=U$5,$H53&gt;=U$4),"■","")</f>
        <v>■</v>
      </c>
      <c r="V53" s="11" t="str">
        <f aca="false">IF(AND($G53&lt;=V$5,$H53&gt;=V$4),"■","")</f>
        <v>■</v>
      </c>
      <c r="W53" s="11" t="str">
        <f aca="false">IF(AND($G53&lt;=W$5,$H53&gt;=W$4),"■","")</f>
        <v/>
      </c>
      <c r="X53" s="11" t="str">
        <f aca="false">IF(AND($G53&lt;=X$5,$H53&gt;=X$4),"■","")</f>
        <v/>
      </c>
      <c r="Y53" s="11" t="str">
        <f aca="false">IF(AND($G53&lt;=Y$5,$H53&gt;=Y$4),"■","")</f>
        <v/>
      </c>
      <c r="Z53" s="11" t="str">
        <f aca="false">IF(AND($G53&lt;=Z$5,$H53&gt;=Z$4),"■","")</f>
        <v/>
      </c>
      <c r="AA53" s="11" t="str">
        <f aca="false">IF(AND($G53&lt;=AA$5,$H53&gt;=AA$4),"■","")</f>
        <v/>
      </c>
    </row>
    <row r="54" customFormat="false" ht="15" hidden="false" customHeight="false" outlineLevel="0" collapsed="false">
      <c r="A54" s="4" t="s">
        <v>386</v>
      </c>
      <c r="B54" s="4" t="s">
        <v>357</v>
      </c>
      <c r="C54" s="4" t="s">
        <v>387</v>
      </c>
      <c r="D54" s="4" t="s">
        <v>388</v>
      </c>
      <c r="E54" s="4" t="s">
        <v>32</v>
      </c>
      <c r="F54" s="15" t="s">
        <v>218</v>
      </c>
      <c r="G54" s="10" t="n">
        <v>40</v>
      </c>
      <c r="H54" s="10" t="n">
        <v>65</v>
      </c>
      <c r="I54" s="16" t="n">
        <f aca="false">IF(OR(LEFT($B54,2)="P0",$H54&lt;=$G$3),$H54,IF(LEFT($B54,2)="P9",$H54-$E$3+$C$3,ROUND($H54*$C$3/$E$3,0)))</f>
        <v>65</v>
      </c>
      <c r="J54" s="4"/>
      <c r="K54" s="4" t="s">
        <v>389</v>
      </c>
      <c r="L54" s="4" t="s">
        <v>390</v>
      </c>
      <c r="M54" s="11" t="str">
        <f aca="false">IF(AND($G54&lt;=M$5,$H54&gt;=M$4),"■","")</f>
        <v/>
      </c>
      <c r="N54" s="11" t="str">
        <f aca="false">IF(AND($G54&lt;=N$5,$H54&gt;=N$4),"■","")</f>
        <v/>
      </c>
      <c r="O54" s="11" t="str">
        <f aca="false">IF(AND($G54&lt;=O$5,$H54&gt;=O$4),"■","")</f>
        <v/>
      </c>
      <c r="P54" s="11" t="str">
        <f aca="false">IF(AND($G54&lt;=P$5,$H54&gt;=P$4),"■","")</f>
        <v/>
      </c>
      <c r="Q54" s="11" t="str">
        <f aca="false">IF(AND($G54&lt;=Q$5,$H54&gt;=Q$4),"■","")</f>
        <v/>
      </c>
      <c r="R54" s="11" t="str">
        <f aca="false">IF(AND($G54&lt;=R$5,$H54&gt;=R$4),"■","")</f>
        <v/>
      </c>
      <c r="S54" s="11" t="str">
        <f aca="false">IF(AND($G54&lt;=S$5,$H54&gt;=S$4),"■","")</f>
        <v>■</v>
      </c>
      <c r="T54" s="11" t="str">
        <f aca="false">IF(AND($G54&lt;=T$5,$H54&gt;=T$4),"■","")</f>
        <v>■</v>
      </c>
      <c r="U54" s="11" t="str">
        <f aca="false">IF(AND($G54&lt;=U$5,$H54&gt;=U$4),"■","")</f>
        <v>■</v>
      </c>
      <c r="V54" s="11" t="str">
        <f aca="false">IF(AND($G54&lt;=V$5,$H54&gt;=V$4),"■","")</f>
        <v>■</v>
      </c>
      <c r="W54" s="11" t="str">
        <f aca="false">IF(AND($G54&lt;=W$5,$H54&gt;=W$4),"■","")</f>
        <v>■</v>
      </c>
      <c r="X54" s="11" t="str">
        <f aca="false">IF(AND($G54&lt;=X$5,$H54&gt;=X$4),"■","")</f>
        <v/>
      </c>
      <c r="Y54" s="11" t="str">
        <f aca="false">IF(AND($G54&lt;=Y$5,$H54&gt;=Y$4),"■","")</f>
        <v/>
      </c>
      <c r="Z54" s="11" t="str">
        <f aca="false">IF(AND($G54&lt;=Z$5,$H54&gt;=Z$4),"■","")</f>
        <v/>
      </c>
      <c r="AA54" s="11" t="str">
        <f aca="false">IF(AND($G54&lt;=AA$5,$H54&gt;=AA$4),"■","")</f>
        <v/>
      </c>
    </row>
    <row r="55" customFormat="false" ht="23.85" hidden="false" customHeight="false" outlineLevel="0" collapsed="false">
      <c r="A55" s="4" t="s">
        <v>391</v>
      </c>
      <c r="B55" s="4" t="s">
        <v>357</v>
      </c>
      <c r="C55" s="4" t="s">
        <v>392</v>
      </c>
      <c r="D55" s="4" t="s">
        <v>393</v>
      </c>
      <c r="E55" s="4" t="s">
        <v>32</v>
      </c>
      <c r="F55" s="15" t="s">
        <v>218</v>
      </c>
      <c r="G55" s="10" t="n">
        <v>45</v>
      </c>
      <c r="H55" s="10" t="n">
        <v>70</v>
      </c>
      <c r="I55" s="16" t="n">
        <f aca="false">IF(OR(LEFT($B55,2)="P0",$H55&lt;=$G$3),$H55,IF(LEFT($B55,2)="P9",$H55-$E$3+$C$3,ROUND($H55*$C$3/$E$3,0)))</f>
        <v>70</v>
      </c>
      <c r="J55" s="4"/>
      <c r="K55" s="4" t="s">
        <v>345</v>
      </c>
      <c r="L55" s="4" t="s">
        <v>348</v>
      </c>
      <c r="M55" s="11" t="str">
        <f aca="false">IF(AND($G55&lt;=M$5,$H55&gt;=M$4),"■","")</f>
        <v/>
      </c>
      <c r="N55" s="11" t="str">
        <f aca="false">IF(AND($G55&lt;=N$5,$H55&gt;=N$4),"■","")</f>
        <v/>
      </c>
      <c r="O55" s="11" t="str">
        <f aca="false">IF(AND($G55&lt;=O$5,$H55&gt;=O$4),"■","")</f>
        <v/>
      </c>
      <c r="P55" s="11" t="str">
        <f aca="false">IF(AND($G55&lt;=P$5,$H55&gt;=P$4),"■","")</f>
        <v/>
      </c>
      <c r="Q55" s="11" t="str">
        <f aca="false">IF(AND($G55&lt;=Q$5,$H55&gt;=Q$4),"■","")</f>
        <v/>
      </c>
      <c r="R55" s="11" t="str">
        <f aca="false">IF(AND($G55&lt;=R$5,$H55&gt;=R$4),"■","")</f>
        <v/>
      </c>
      <c r="S55" s="11" t="str">
        <f aca="false">IF(AND($G55&lt;=S$5,$H55&gt;=S$4),"■","")</f>
        <v/>
      </c>
      <c r="T55" s="11" t="str">
        <f aca="false">IF(AND($G55&lt;=T$5,$H55&gt;=T$4),"■","")</f>
        <v>■</v>
      </c>
      <c r="U55" s="11" t="str">
        <f aca="false">IF(AND($G55&lt;=U$5,$H55&gt;=U$4),"■","")</f>
        <v>■</v>
      </c>
      <c r="V55" s="11" t="str">
        <f aca="false">IF(AND($G55&lt;=V$5,$H55&gt;=V$4),"■","")</f>
        <v>■</v>
      </c>
      <c r="W55" s="11" t="str">
        <f aca="false">IF(AND($G55&lt;=W$5,$H55&gt;=W$4),"■","")</f>
        <v>■</v>
      </c>
      <c r="X55" s="11" t="str">
        <f aca="false">IF(AND($G55&lt;=X$5,$H55&gt;=X$4),"■","")</f>
        <v>■</v>
      </c>
      <c r="Y55" s="11" t="str">
        <f aca="false">IF(AND($G55&lt;=Y$5,$H55&gt;=Y$4),"■","")</f>
        <v/>
      </c>
      <c r="Z55" s="11" t="str">
        <f aca="false">IF(AND($G55&lt;=Z$5,$H55&gt;=Z$4),"■","")</f>
        <v/>
      </c>
      <c r="AA55" s="11" t="str">
        <f aca="false">IF(AND($G55&lt;=AA$5,$H55&gt;=AA$4),"■","")</f>
        <v/>
      </c>
    </row>
    <row r="56" customFormat="false" ht="23.85" hidden="false" customHeight="false" outlineLevel="0" collapsed="false">
      <c r="A56" s="4" t="s">
        <v>394</v>
      </c>
      <c r="B56" s="4" t="s">
        <v>357</v>
      </c>
      <c r="C56" s="4" t="s">
        <v>395</v>
      </c>
      <c r="D56" s="4" t="s">
        <v>396</v>
      </c>
      <c r="E56" s="4" t="s">
        <v>32</v>
      </c>
      <c r="F56" s="15" t="s">
        <v>205</v>
      </c>
      <c r="G56" s="10" t="n">
        <v>45</v>
      </c>
      <c r="H56" s="10" t="n">
        <v>70</v>
      </c>
      <c r="I56" s="16" t="n">
        <f aca="false">IF(OR(LEFT($B56,2)="P0",$H56&lt;=$G$3),$H56,IF(LEFT($B56,2)="P9",$H56-$E$3+$C$3,ROUND($H56*$C$3/$E$3,0)))</f>
        <v>70</v>
      </c>
      <c r="J56" s="4"/>
      <c r="K56" s="4" t="s">
        <v>326</v>
      </c>
      <c r="L56" s="4" t="s">
        <v>319</v>
      </c>
      <c r="M56" s="11" t="str">
        <f aca="false">IF(AND($G56&lt;=M$5,$H56&gt;=M$4),"■","")</f>
        <v/>
      </c>
      <c r="N56" s="11" t="str">
        <f aca="false">IF(AND($G56&lt;=N$5,$H56&gt;=N$4),"■","")</f>
        <v/>
      </c>
      <c r="O56" s="11" t="str">
        <f aca="false">IF(AND($G56&lt;=O$5,$H56&gt;=O$4),"■","")</f>
        <v/>
      </c>
      <c r="P56" s="11" t="str">
        <f aca="false">IF(AND($G56&lt;=P$5,$H56&gt;=P$4),"■","")</f>
        <v/>
      </c>
      <c r="Q56" s="11" t="str">
        <f aca="false">IF(AND($G56&lt;=Q$5,$H56&gt;=Q$4),"■","")</f>
        <v/>
      </c>
      <c r="R56" s="11" t="str">
        <f aca="false">IF(AND($G56&lt;=R$5,$H56&gt;=R$4),"■","")</f>
        <v/>
      </c>
      <c r="S56" s="11" t="str">
        <f aca="false">IF(AND($G56&lt;=S$5,$H56&gt;=S$4),"■","")</f>
        <v/>
      </c>
      <c r="T56" s="11" t="str">
        <f aca="false">IF(AND($G56&lt;=T$5,$H56&gt;=T$4),"■","")</f>
        <v>■</v>
      </c>
      <c r="U56" s="11" t="str">
        <f aca="false">IF(AND($G56&lt;=U$5,$H56&gt;=U$4),"■","")</f>
        <v>■</v>
      </c>
      <c r="V56" s="11" t="str">
        <f aca="false">IF(AND($G56&lt;=V$5,$H56&gt;=V$4),"■","")</f>
        <v>■</v>
      </c>
      <c r="W56" s="11" t="str">
        <f aca="false">IF(AND($G56&lt;=W$5,$H56&gt;=W$4),"■","")</f>
        <v>■</v>
      </c>
      <c r="X56" s="11" t="str">
        <f aca="false">IF(AND($G56&lt;=X$5,$H56&gt;=X$4),"■","")</f>
        <v>■</v>
      </c>
      <c r="Y56" s="11" t="str">
        <f aca="false">IF(AND($G56&lt;=Y$5,$H56&gt;=Y$4),"■","")</f>
        <v/>
      </c>
      <c r="Z56" s="11" t="str">
        <f aca="false">IF(AND($G56&lt;=Z$5,$H56&gt;=Z$4),"■","")</f>
        <v/>
      </c>
      <c r="AA56" s="11" t="str">
        <f aca="false">IF(AND($G56&lt;=AA$5,$H56&gt;=AA$4),"■","")</f>
        <v/>
      </c>
    </row>
    <row r="57" customFormat="false" ht="15" hidden="false" customHeight="false" outlineLevel="0" collapsed="false">
      <c r="A57" s="4" t="s">
        <v>397</v>
      </c>
      <c r="B57" s="4" t="s">
        <v>357</v>
      </c>
      <c r="C57" s="4" t="s">
        <v>398</v>
      </c>
      <c r="D57" s="4" t="s">
        <v>399</v>
      </c>
      <c r="E57" s="4" t="s">
        <v>36</v>
      </c>
      <c r="F57" s="15" t="s">
        <v>218</v>
      </c>
      <c r="G57" s="10" t="n">
        <v>35</v>
      </c>
      <c r="H57" s="10" t="n">
        <v>75</v>
      </c>
      <c r="I57" s="16" t="n">
        <f aca="false">IF(OR(LEFT($B57,2)="P0",$H57&lt;=$G$3),$H57,IF(LEFT($B57,2)="P9",$H57-$E$3+$C$3,ROUND($H57*$C$3/$E$3,0)))</f>
        <v>75</v>
      </c>
      <c r="J57" s="4"/>
      <c r="K57" s="4" t="s">
        <v>400</v>
      </c>
      <c r="L57" s="4" t="s">
        <v>401</v>
      </c>
      <c r="M57" s="11" t="str">
        <f aca="false">IF(AND($G57&lt;=M$5,$H57&gt;=M$4),"■","")</f>
        <v/>
      </c>
      <c r="N57" s="11" t="str">
        <f aca="false">IF(AND($G57&lt;=N$5,$H57&gt;=N$4),"■","")</f>
        <v/>
      </c>
      <c r="O57" s="11" t="str">
        <f aca="false">IF(AND($G57&lt;=O$5,$H57&gt;=O$4),"■","")</f>
        <v/>
      </c>
      <c r="P57" s="11" t="str">
        <f aca="false">IF(AND($G57&lt;=P$5,$H57&gt;=P$4),"■","")</f>
        <v/>
      </c>
      <c r="Q57" s="11" t="str">
        <f aca="false">IF(AND($G57&lt;=Q$5,$H57&gt;=Q$4),"■","")</f>
        <v/>
      </c>
      <c r="R57" s="11" t="str">
        <f aca="false">IF(AND($G57&lt;=R$5,$H57&gt;=R$4),"■","")</f>
        <v/>
      </c>
      <c r="S57" s="11" t="str">
        <f aca="false">IF(AND($G57&lt;=S$5,$H57&gt;=S$4),"■","")</f>
        <v>■</v>
      </c>
      <c r="T57" s="11" t="str">
        <f aca="false">IF(AND($G57&lt;=T$5,$H57&gt;=T$4),"■","")</f>
        <v>■</v>
      </c>
      <c r="U57" s="11" t="str">
        <f aca="false">IF(AND($G57&lt;=U$5,$H57&gt;=U$4),"■","")</f>
        <v>■</v>
      </c>
      <c r="V57" s="11" t="str">
        <f aca="false">IF(AND($G57&lt;=V$5,$H57&gt;=V$4),"■","")</f>
        <v>■</v>
      </c>
      <c r="W57" s="11" t="str">
        <f aca="false">IF(AND($G57&lt;=W$5,$H57&gt;=W$4),"■","")</f>
        <v>■</v>
      </c>
      <c r="X57" s="11" t="str">
        <f aca="false">IF(AND($G57&lt;=X$5,$H57&gt;=X$4),"■","")</f>
        <v>■</v>
      </c>
      <c r="Y57" s="11" t="str">
        <f aca="false">IF(AND($G57&lt;=Y$5,$H57&gt;=Y$4),"■","")</f>
        <v/>
      </c>
      <c r="Z57" s="11" t="str">
        <f aca="false">IF(AND($G57&lt;=Z$5,$H57&gt;=Z$4),"■","")</f>
        <v/>
      </c>
      <c r="AA57" s="11" t="str">
        <f aca="false">IF(AND($G57&lt;=AA$5,$H57&gt;=AA$4),"■","")</f>
        <v/>
      </c>
    </row>
    <row r="58" customFormat="false" ht="23.85" hidden="false" customHeight="false" outlineLevel="0" collapsed="false">
      <c r="A58" s="4" t="s">
        <v>402</v>
      </c>
      <c r="B58" s="4" t="s">
        <v>357</v>
      </c>
      <c r="C58" s="4" t="s">
        <v>403</v>
      </c>
      <c r="D58" s="4" t="s">
        <v>404</v>
      </c>
      <c r="E58" s="4" t="s">
        <v>32</v>
      </c>
      <c r="F58" s="15" t="s">
        <v>218</v>
      </c>
      <c r="G58" s="10" t="n">
        <v>35</v>
      </c>
      <c r="H58" s="10" t="n">
        <v>75</v>
      </c>
      <c r="I58" s="16" t="n">
        <f aca="false">IF(OR(LEFT($B58,2)="P0",$H58&lt;=$G$3),$H58,IF(LEFT($B58,2)="P9",$H58-$E$3+$C$3,ROUND($H58*$C$3/$E$3,0)))</f>
        <v>75</v>
      </c>
      <c r="J58" s="4" t="s">
        <v>405</v>
      </c>
      <c r="K58" s="4" t="s">
        <v>397</v>
      </c>
      <c r="L58" s="4" t="s">
        <v>251</v>
      </c>
      <c r="M58" s="11" t="str">
        <f aca="false">IF(AND($G58&lt;=M$5,$H58&gt;=M$4),"■","")</f>
        <v/>
      </c>
      <c r="N58" s="11" t="str">
        <f aca="false">IF(AND($G58&lt;=N$5,$H58&gt;=N$4),"■","")</f>
        <v/>
      </c>
      <c r="O58" s="11" t="str">
        <f aca="false">IF(AND($G58&lt;=O$5,$H58&gt;=O$4),"■","")</f>
        <v/>
      </c>
      <c r="P58" s="11" t="str">
        <f aca="false">IF(AND($G58&lt;=P$5,$H58&gt;=P$4),"■","")</f>
        <v/>
      </c>
      <c r="Q58" s="11" t="str">
        <f aca="false">IF(AND($G58&lt;=Q$5,$H58&gt;=Q$4),"■","")</f>
        <v/>
      </c>
      <c r="R58" s="11" t="str">
        <f aca="false">IF(AND($G58&lt;=R$5,$H58&gt;=R$4),"■","")</f>
        <v/>
      </c>
      <c r="S58" s="11" t="str">
        <f aca="false">IF(AND($G58&lt;=S$5,$H58&gt;=S$4),"■","")</f>
        <v>■</v>
      </c>
      <c r="T58" s="11" t="str">
        <f aca="false">IF(AND($G58&lt;=T$5,$H58&gt;=T$4),"■","")</f>
        <v>■</v>
      </c>
      <c r="U58" s="11" t="str">
        <f aca="false">IF(AND($G58&lt;=U$5,$H58&gt;=U$4),"■","")</f>
        <v>■</v>
      </c>
      <c r="V58" s="11" t="str">
        <f aca="false">IF(AND($G58&lt;=V$5,$H58&gt;=V$4),"■","")</f>
        <v>■</v>
      </c>
      <c r="W58" s="11" t="str">
        <f aca="false">IF(AND($G58&lt;=W$5,$H58&gt;=W$4),"■","")</f>
        <v>■</v>
      </c>
      <c r="X58" s="11" t="str">
        <f aca="false">IF(AND($G58&lt;=X$5,$H58&gt;=X$4),"■","")</f>
        <v>■</v>
      </c>
      <c r="Y58" s="11" t="str">
        <f aca="false">IF(AND($G58&lt;=Y$5,$H58&gt;=Y$4),"■","")</f>
        <v/>
      </c>
      <c r="Z58" s="11" t="str">
        <f aca="false">IF(AND($G58&lt;=Z$5,$H58&gt;=Z$4),"■","")</f>
        <v/>
      </c>
      <c r="AA58" s="11" t="str">
        <f aca="false">IF(AND($G58&lt;=AA$5,$H58&gt;=AA$4),"■","")</f>
        <v/>
      </c>
    </row>
    <row r="59" customFormat="false" ht="23.85" hidden="false" customHeight="false" outlineLevel="0" collapsed="false">
      <c r="A59" s="4" t="s">
        <v>406</v>
      </c>
      <c r="B59" s="4" t="s">
        <v>407</v>
      </c>
      <c r="C59" s="4" t="s">
        <v>408</v>
      </c>
      <c r="D59" s="4" t="s">
        <v>409</v>
      </c>
      <c r="E59" s="4" t="s">
        <v>32</v>
      </c>
      <c r="F59" s="15" t="s">
        <v>218</v>
      </c>
      <c r="G59" s="10" t="n">
        <v>10</v>
      </c>
      <c r="H59" s="10" t="n">
        <v>14</v>
      </c>
      <c r="I59" s="16" t="n">
        <f aca="false">IF(OR(LEFT($B59,2)="P0",$H59&lt;=$G$3),$H59,IF(LEFT($B59,2)="P9",$H59-$E$3+$C$3,ROUND($H59*$C$3/$E$3,0)))</f>
        <v>14</v>
      </c>
      <c r="J59" s="4"/>
      <c r="K59" s="4" t="s">
        <v>277</v>
      </c>
      <c r="L59" s="4" t="s">
        <v>410</v>
      </c>
      <c r="M59" s="11" t="str">
        <f aca="false">IF(AND($G59&lt;=M$5,$H59&gt;=M$4),"■","")</f>
        <v/>
      </c>
      <c r="N59" s="11" t="str">
        <f aca="false">IF(AND($G59&lt;=N$5,$H59&gt;=N$4),"■","")</f>
        <v/>
      </c>
      <c r="O59" s="11" t="str">
        <f aca="false">IF(AND($G59&lt;=O$5,$H59&gt;=O$4),"■","")</f>
        <v>■</v>
      </c>
      <c r="P59" s="11" t="str">
        <f aca="false">IF(AND($G59&lt;=P$5,$H59&gt;=P$4),"■","")</f>
        <v>■</v>
      </c>
      <c r="Q59" s="11" t="str">
        <f aca="false">IF(AND($G59&lt;=Q$5,$H59&gt;=Q$4),"■","")</f>
        <v/>
      </c>
      <c r="R59" s="11" t="str">
        <f aca="false">IF(AND($G59&lt;=R$5,$H59&gt;=R$4),"■","")</f>
        <v/>
      </c>
      <c r="S59" s="11" t="str">
        <f aca="false">IF(AND($G59&lt;=S$5,$H59&gt;=S$4),"■","")</f>
        <v/>
      </c>
      <c r="T59" s="11" t="str">
        <f aca="false">IF(AND($G59&lt;=T$5,$H59&gt;=T$4),"■","")</f>
        <v/>
      </c>
      <c r="U59" s="11" t="str">
        <f aca="false">IF(AND($G59&lt;=U$5,$H59&gt;=U$4),"■","")</f>
        <v/>
      </c>
      <c r="V59" s="11" t="str">
        <f aca="false">IF(AND($G59&lt;=V$5,$H59&gt;=V$4),"■","")</f>
        <v/>
      </c>
      <c r="W59" s="11" t="str">
        <f aca="false">IF(AND($G59&lt;=W$5,$H59&gt;=W$4),"■","")</f>
        <v/>
      </c>
      <c r="X59" s="11" t="str">
        <f aca="false">IF(AND($G59&lt;=X$5,$H59&gt;=X$4),"■","")</f>
        <v/>
      </c>
      <c r="Y59" s="11" t="str">
        <f aca="false">IF(AND($G59&lt;=Y$5,$H59&gt;=Y$4),"■","")</f>
        <v/>
      </c>
      <c r="Z59" s="11" t="str">
        <f aca="false">IF(AND($G59&lt;=Z$5,$H59&gt;=Z$4),"■","")</f>
        <v/>
      </c>
      <c r="AA59" s="11" t="str">
        <f aca="false">IF(AND($G59&lt;=AA$5,$H59&gt;=AA$4),"■","")</f>
        <v/>
      </c>
    </row>
    <row r="60" customFormat="false" ht="23.85" hidden="false" customHeight="false" outlineLevel="0" collapsed="false">
      <c r="A60" s="4" t="s">
        <v>411</v>
      </c>
      <c r="B60" s="4" t="s">
        <v>407</v>
      </c>
      <c r="C60" s="4" t="s">
        <v>412</v>
      </c>
      <c r="D60" s="4" t="s">
        <v>413</v>
      </c>
      <c r="E60" s="4" t="s">
        <v>32</v>
      </c>
      <c r="F60" s="15" t="s">
        <v>218</v>
      </c>
      <c r="G60" s="10" t="n">
        <v>14</v>
      </c>
      <c r="H60" s="10" t="n">
        <v>85</v>
      </c>
      <c r="I60" s="16" t="n">
        <f aca="false">IF(OR(LEFT($B60,2)="P0",$H60&lt;=$G$3),$H60,IF(LEFT($B60,2)="P9",$H60-$E$3+$C$3,ROUND($H60*$C$3/$E$3,0)))</f>
        <v>85</v>
      </c>
      <c r="J60" s="4"/>
      <c r="K60" s="4" t="s">
        <v>406</v>
      </c>
      <c r="L60" s="4" t="s">
        <v>414</v>
      </c>
      <c r="M60" s="11" t="str">
        <f aca="false">IF(AND($G60&lt;=M$5,$H60&gt;=M$4),"■","")</f>
        <v/>
      </c>
      <c r="N60" s="11" t="str">
        <f aca="false">IF(AND($G60&lt;=N$5,$H60&gt;=N$4),"■","")</f>
        <v/>
      </c>
      <c r="O60" s="11" t="str">
        <f aca="false">IF(AND($G60&lt;=O$5,$H60&gt;=O$4),"■","")</f>
        <v/>
      </c>
      <c r="P60" s="11" t="str">
        <f aca="false">IF(AND($G60&lt;=P$5,$H60&gt;=P$4),"■","")</f>
        <v>■</v>
      </c>
      <c r="Q60" s="11" t="str">
        <f aca="false">IF(AND($G60&lt;=Q$5,$H60&gt;=Q$4),"■","")</f>
        <v>■</v>
      </c>
      <c r="R60" s="11" t="str">
        <f aca="false">IF(AND($G60&lt;=R$5,$H60&gt;=R$4),"■","")</f>
        <v>■</v>
      </c>
      <c r="S60" s="11" t="str">
        <f aca="false">IF(AND($G60&lt;=S$5,$H60&gt;=S$4),"■","")</f>
        <v>■</v>
      </c>
      <c r="T60" s="11" t="str">
        <f aca="false">IF(AND($G60&lt;=T$5,$H60&gt;=T$4),"■","")</f>
        <v>■</v>
      </c>
      <c r="U60" s="11" t="str">
        <f aca="false">IF(AND($G60&lt;=U$5,$H60&gt;=U$4),"■","")</f>
        <v>■</v>
      </c>
      <c r="V60" s="11" t="str">
        <f aca="false">IF(AND($G60&lt;=V$5,$H60&gt;=V$4),"■","")</f>
        <v>■</v>
      </c>
      <c r="W60" s="11" t="str">
        <f aca="false">IF(AND($G60&lt;=W$5,$H60&gt;=W$4),"■","")</f>
        <v>■</v>
      </c>
      <c r="X60" s="11" t="str">
        <f aca="false">IF(AND($G60&lt;=X$5,$H60&gt;=X$4),"■","")</f>
        <v>■</v>
      </c>
      <c r="Y60" s="11" t="str">
        <f aca="false">IF(AND($G60&lt;=Y$5,$H60&gt;=Y$4),"■","")</f>
        <v>■</v>
      </c>
      <c r="Z60" s="11" t="str">
        <f aca="false">IF(AND($G60&lt;=Z$5,$H60&gt;=Z$4),"■","")</f>
        <v>■</v>
      </c>
      <c r="AA60" s="11" t="str">
        <f aca="false">IF(AND($G60&lt;=AA$5,$H60&gt;=AA$4),"■","")</f>
        <v/>
      </c>
    </row>
    <row r="61" customFormat="false" ht="23.85" hidden="false" customHeight="false" outlineLevel="0" collapsed="false">
      <c r="A61" s="4" t="s">
        <v>415</v>
      </c>
      <c r="B61" s="4" t="s">
        <v>407</v>
      </c>
      <c r="C61" s="4" t="s">
        <v>416</v>
      </c>
      <c r="D61" s="4" t="s">
        <v>417</v>
      </c>
      <c r="E61" s="4" t="s">
        <v>32</v>
      </c>
      <c r="F61" s="15" t="s">
        <v>205</v>
      </c>
      <c r="G61" s="10" t="n">
        <v>45</v>
      </c>
      <c r="H61" s="10" t="n">
        <v>45</v>
      </c>
      <c r="I61" s="16" t="n">
        <f aca="false">IF(OR(LEFT($B61,2)="P0",$H61&lt;=$G$3),$H61,IF(LEFT($B61,2)="P9",$H61-$E$3+$C$3,ROUND($H61*$C$3/$E$3,0)))</f>
        <v>45</v>
      </c>
      <c r="J61" s="4"/>
      <c r="K61" s="4" t="s">
        <v>411</v>
      </c>
      <c r="L61" s="4" t="s">
        <v>259</v>
      </c>
      <c r="M61" s="11" t="str">
        <f aca="false">IF(AND($G61&lt;=M$5,$H61&gt;=M$4),"■","")</f>
        <v/>
      </c>
      <c r="N61" s="11" t="str">
        <f aca="false">IF(AND($G61&lt;=N$5,$H61&gt;=N$4),"■","")</f>
        <v/>
      </c>
      <c r="O61" s="11" t="str">
        <f aca="false">IF(AND($G61&lt;=O$5,$H61&gt;=O$4),"■","")</f>
        <v/>
      </c>
      <c r="P61" s="11" t="str">
        <f aca="false">IF(AND($G61&lt;=P$5,$H61&gt;=P$4),"■","")</f>
        <v/>
      </c>
      <c r="Q61" s="11" t="str">
        <f aca="false">IF(AND($G61&lt;=Q$5,$H61&gt;=Q$4),"■","")</f>
        <v/>
      </c>
      <c r="R61" s="11" t="str">
        <f aca="false">IF(AND($G61&lt;=R$5,$H61&gt;=R$4),"■","")</f>
        <v/>
      </c>
      <c r="S61" s="11" t="str">
        <f aca="false">IF(AND($G61&lt;=S$5,$H61&gt;=S$4),"■","")</f>
        <v/>
      </c>
      <c r="T61" s="11" t="str">
        <f aca="false">IF(AND($G61&lt;=T$5,$H61&gt;=T$4),"■","")</f>
        <v>■</v>
      </c>
      <c r="U61" s="11" t="str">
        <f aca="false">IF(AND($G61&lt;=U$5,$H61&gt;=U$4),"■","")</f>
        <v/>
      </c>
      <c r="V61" s="11" t="str">
        <f aca="false">IF(AND($G61&lt;=V$5,$H61&gt;=V$4),"■","")</f>
        <v/>
      </c>
      <c r="W61" s="11" t="str">
        <f aca="false">IF(AND($G61&lt;=W$5,$H61&gt;=W$4),"■","")</f>
        <v/>
      </c>
      <c r="X61" s="11" t="str">
        <f aca="false">IF(AND($G61&lt;=X$5,$H61&gt;=X$4),"■","")</f>
        <v/>
      </c>
      <c r="Y61" s="11" t="str">
        <f aca="false">IF(AND($G61&lt;=Y$5,$H61&gt;=Y$4),"■","")</f>
        <v/>
      </c>
      <c r="Z61" s="11" t="str">
        <f aca="false">IF(AND($G61&lt;=Z$5,$H61&gt;=Z$4),"■","")</f>
        <v/>
      </c>
      <c r="AA61" s="11" t="str">
        <f aca="false">IF(AND($G61&lt;=AA$5,$H61&gt;=AA$4),"■","")</f>
        <v/>
      </c>
    </row>
    <row r="62" customFormat="false" ht="23.85" hidden="false" customHeight="false" outlineLevel="0" collapsed="false">
      <c r="A62" s="4" t="s">
        <v>418</v>
      </c>
      <c r="B62" s="4" t="s">
        <v>407</v>
      </c>
      <c r="C62" s="4" t="s">
        <v>419</v>
      </c>
      <c r="D62" s="4" t="s">
        <v>420</v>
      </c>
      <c r="E62" s="4" t="s">
        <v>32</v>
      </c>
      <c r="F62" s="15" t="s">
        <v>218</v>
      </c>
      <c r="G62" s="10" t="n">
        <v>60</v>
      </c>
      <c r="H62" s="10" t="n">
        <v>85</v>
      </c>
      <c r="I62" s="16" t="n">
        <f aca="false">IF(OR(LEFT($B62,2)="P0",$H62&lt;=$G$3),$H62,IF(LEFT($B62,2)="P9",$H62-$E$3+$C$3,ROUND($H62*$C$3/$E$3,0)))</f>
        <v>85</v>
      </c>
      <c r="J62" s="4"/>
      <c r="K62" s="4" t="s">
        <v>397</v>
      </c>
      <c r="L62" s="4" t="s">
        <v>421</v>
      </c>
      <c r="M62" s="11" t="str">
        <f aca="false">IF(AND($G62&lt;=M$5,$H62&gt;=M$4),"■","")</f>
        <v/>
      </c>
      <c r="N62" s="11" t="str">
        <f aca="false">IF(AND($G62&lt;=N$5,$H62&gt;=N$4),"■","")</f>
        <v/>
      </c>
      <c r="O62" s="11" t="str">
        <f aca="false">IF(AND($G62&lt;=O$5,$H62&gt;=O$4),"■","")</f>
        <v/>
      </c>
      <c r="P62" s="11" t="str">
        <f aca="false">IF(AND($G62&lt;=P$5,$H62&gt;=P$4),"■","")</f>
        <v/>
      </c>
      <c r="Q62" s="11" t="str">
        <f aca="false">IF(AND($G62&lt;=Q$5,$H62&gt;=Q$4),"■","")</f>
        <v/>
      </c>
      <c r="R62" s="11" t="str">
        <f aca="false">IF(AND($G62&lt;=R$5,$H62&gt;=R$4),"■","")</f>
        <v/>
      </c>
      <c r="S62" s="11" t="str">
        <f aca="false">IF(AND($G62&lt;=S$5,$H62&gt;=S$4),"■","")</f>
        <v/>
      </c>
      <c r="T62" s="11" t="str">
        <f aca="false">IF(AND($G62&lt;=T$5,$H62&gt;=T$4),"■","")</f>
        <v/>
      </c>
      <c r="U62" s="11" t="str">
        <f aca="false">IF(AND($G62&lt;=U$5,$H62&gt;=U$4),"■","")</f>
        <v/>
      </c>
      <c r="V62" s="11" t="str">
        <f aca="false">IF(AND($G62&lt;=V$5,$H62&gt;=V$4),"■","")</f>
        <v>■</v>
      </c>
      <c r="W62" s="11" t="str">
        <f aca="false">IF(AND($G62&lt;=W$5,$H62&gt;=W$4),"■","")</f>
        <v>■</v>
      </c>
      <c r="X62" s="11" t="str">
        <f aca="false">IF(AND($G62&lt;=X$5,$H62&gt;=X$4),"■","")</f>
        <v>■</v>
      </c>
      <c r="Y62" s="11" t="str">
        <f aca="false">IF(AND($G62&lt;=Y$5,$H62&gt;=Y$4),"■","")</f>
        <v>■</v>
      </c>
      <c r="Z62" s="11" t="str">
        <f aca="false">IF(AND($G62&lt;=Z$5,$H62&gt;=Z$4),"■","")</f>
        <v>■</v>
      </c>
      <c r="AA62" s="11" t="str">
        <f aca="false">IF(AND($G62&lt;=AA$5,$H62&gt;=AA$4),"■","")</f>
        <v/>
      </c>
    </row>
    <row r="63" customFormat="false" ht="23.85" hidden="false" customHeight="false" outlineLevel="0" collapsed="false">
      <c r="A63" s="4" t="s">
        <v>422</v>
      </c>
      <c r="B63" s="4" t="s">
        <v>407</v>
      </c>
      <c r="C63" s="4" t="s">
        <v>423</v>
      </c>
      <c r="D63" s="4" t="s">
        <v>424</v>
      </c>
      <c r="E63" s="4" t="s">
        <v>32</v>
      </c>
      <c r="F63" s="15" t="s">
        <v>205</v>
      </c>
      <c r="G63" s="10" t="n">
        <v>75</v>
      </c>
      <c r="H63" s="10" t="n">
        <v>75</v>
      </c>
      <c r="I63" s="16" t="n">
        <f aca="false">IF(OR(LEFT($B63,2)="P0",$H63&lt;=$G$3),$H63,IF(LEFT($B63,2)="P9",$H63-$E$3+$C$3,ROUND($H63*$C$3/$E$3,0)))</f>
        <v>75</v>
      </c>
      <c r="J63" s="4"/>
      <c r="K63" s="4" t="s">
        <v>415</v>
      </c>
      <c r="L63" s="4" t="s">
        <v>259</v>
      </c>
      <c r="M63" s="11" t="str">
        <f aca="false">IF(AND($G63&lt;=M$5,$H63&gt;=M$4),"■","")</f>
        <v/>
      </c>
      <c r="N63" s="11" t="str">
        <f aca="false">IF(AND($G63&lt;=N$5,$H63&gt;=N$4),"■","")</f>
        <v/>
      </c>
      <c r="O63" s="11" t="str">
        <f aca="false">IF(AND($G63&lt;=O$5,$H63&gt;=O$4),"■","")</f>
        <v/>
      </c>
      <c r="P63" s="11" t="str">
        <f aca="false">IF(AND($G63&lt;=P$5,$H63&gt;=P$4),"■","")</f>
        <v/>
      </c>
      <c r="Q63" s="11" t="str">
        <f aca="false">IF(AND($G63&lt;=Q$5,$H63&gt;=Q$4),"■","")</f>
        <v/>
      </c>
      <c r="R63" s="11" t="str">
        <f aca="false">IF(AND($G63&lt;=R$5,$H63&gt;=R$4),"■","")</f>
        <v/>
      </c>
      <c r="S63" s="11" t="str">
        <f aca="false">IF(AND($G63&lt;=S$5,$H63&gt;=S$4),"■","")</f>
        <v/>
      </c>
      <c r="T63" s="11" t="str">
        <f aca="false">IF(AND($G63&lt;=T$5,$H63&gt;=T$4),"■","")</f>
        <v/>
      </c>
      <c r="U63" s="11" t="str">
        <f aca="false">IF(AND($G63&lt;=U$5,$H63&gt;=U$4),"■","")</f>
        <v/>
      </c>
      <c r="V63" s="11" t="str">
        <f aca="false">IF(AND($G63&lt;=V$5,$H63&gt;=V$4),"■","")</f>
        <v/>
      </c>
      <c r="W63" s="11" t="str">
        <f aca="false">IF(AND($G63&lt;=W$5,$H63&gt;=W$4),"■","")</f>
        <v/>
      </c>
      <c r="X63" s="11" t="str">
        <f aca="false">IF(AND($G63&lt;=X$5,$H63&gt;=X$4),"■","")</f>
        <v>■</v>
      </c>
      <c r="Y63" s="11" t="str">
        <f aca="false">IF(AND($G63&lt;=Y$5,$H63&gt;=Y$4),"■","")</f>
        <v/>
      </c>
      <c r="Z63" s="11" t="str">
        <f aca="false">IF(AND($G63&lt;=Z$5,$H63&gt;=Z$4),"■","")</f>
        <v/>
      </c>
      <c r="AA63" s="11" t="str">
        <f aca="false">IF(AND($G63&lt;=AA$5,$H63&gt;=AA$4),"■","")</f>
        <v/>
      </c>
    </row>
    <row r="64" customFormat="false" ht="15" hidden="false" customHeight="false" outlineLevel="0" collapsed="false">
      <c r="A64" s="4" t="s">
        <v>425</v>
      </c>
      <c r="B64" s="4" t="s">
        <v>426</v>
      </c>
      <c r="C64" s="4" t="s">
        <v>427</v>
      </c>
      <c r="D64" s="4" t="s">
        <v>428</v>
      </c>
      <c r="E64" s="4" t="s">
        <v>32</v>
      </c>
      <c r="F64" s="15" t="s">
        <v>218</v>
      </c>
      <c r="G64" s="10" t="n">
        <v>7</v>
      </c>
      <c r="H64" s="10" t="n">
        <v>90</v>
      </c>
      <c r="I64" s="16" t="n">
        <f aca="false">IF(OR(LEFT($B64,2)="P0",$H64&lt;=$G$3),$H64,IF(LEFT($B64,2)="P9",$H64-$E$3+$C$3,ROUND($H64*$C$3/$E$3,0)))</f>
        <v>90</v>
      </c>
      <c r="J64" s="4" t="s">
        <v>429</v>
      </c>
      <c r="K64" s="4" t="s">
        <v>260</v>
      </c>
      <c r="L64" s="4" t="s">
        <v>271</v>
      </c>
      <c r="M64" s="11" t="str">
        <f aca="false">IF(AND($G64&lt;=M$5,$H64&gt;=M$4),"■","")</f>
        <v/>
      </c>
      <c r="N64" s="11" t="str">
        <f aca="false">IF(AND($G64&lt;=N$5,$H64&gt;=N$4),"■","")</f>
        <v/>
      </c>
      <c r="O64" s="11" t="str">
        <f aca="false">IF(AND($G64&lt;=O$5,$H64&gt;=O$4),"■","")</f>
        <v>■</v>
      </c>
      <c r="P64" s="11" t="str">
        <f aca="false">IF(AND($G64&lt;=P$5,$H64&gt;=P$4),"■","")</f>
        <v>■</v>
      </c>
      <c r="Q64" s="11" t="str">
        <f aca="false">IF(AND($G64&lt;=Q$5,$H64&gt;=Q$4),"■","")</f>
        <v>■</v>
      </c>
      <c r="R64" s="11" t="str">
        <f aca="false">IF(AND($G64&lt;=R$5,$H64&gt;=R$4),"■","")</f>
        <v>■</v>
      </c>
      <c r="S64" s="11" t="str">
        <f aca="false">IF(AND($G64&lt;=S$5,$H64&gt;=S$4),"■","")</f>
        <v>■</v>
      </c>
      <c r="T64" s="11" t="str">
        <f aca="false">IF(AND($G64&lt;=T$5,$H64&gt;=T$4),"■","")</f>
        <v>■</v>
      </c>
      <c r="U64" s="11" t="str">
        <f aca="false">IF(AND($G64&lt;=U$5,$H64&gt;=U$4),"■","")</f>
        <v>■</v>
      </c>
      <c r="V64" s="11" t="str">
        <f aca="false">IF(AND($G64&lt;=V$5,$H64&gt;=V$4),"■","")</f>
        <v>■</v>
      </c>
      <c r="W64" s="11" t="str">
        <f aca="false">IF(AND($G64&lt;=W$5,$H64&gt;=W$4),"■","")</f>
        <v>■</v>
      </c>
      <c r="X64" s="11" t="str">
        <f aca="false">IF(AND($G64&lt;=X$5,$H64&gt;=X$4),"■","")</f>
        <v>■</v>
      </c>
      <c r="Y64" s="11" t="str">
        <f aca="false">IF(AND($G64&lt;=Y$5,$H64&gt;=Y$4),"■","")</f>
        <v>■</v>
      </c>
      <c r="Z64" s="11" t="str">
        <f aca="false">IF(AND($G64&lt;=Z$5,$H64&gt;=Z$4),"■","")</f>
        <v>■</v>
      </c>
      <c r="AA64" s="11" t="str">
        <f aca="false">IF(AND($G64&lt;=AA$5,$H64&gt;=AA$4),"■","")</f>
        <v/>
      </c>
    </row>
    <row r="65" customFormat="false" ht="35.05" hidden="false" customHeight="false" outlineLevel="0" collapsed="false">
      <c r="A65" s="4" t="s">
        <v>430</v>
      </c>
      <c r="B65" s="4" t="s">
        <v>426</v>
      </c>
      <c r="C65" s="4" t="s">
        <v>431</v>
      </c>
      <c r="D65" s="4" t="s">
        <v>432</v>
      </c>
      <c r="E65" s="4" t="s">
        <v>32</v>
      </c>
      <c r="F65" s="15" t="s">
        <v>218</v>
      </c>
      <c r="G65" s="10" t="n">
        <v>7</v>
      </c>
      <c r="H65" s="10" t="n">
        <v>90</v>
      </c>
      <c r="I65" s="16" t="n">
        <f aca="false">IF(OR(LEFT($B65,2)="P0",$H65&lt;=$G$3),$H65,IF(LEFT($B65,2)="P9",$H65-$E$3+$C$3,ROUND($H65*$C$3/$E$3,0)))</f>
        <v>90</v>
      </c>
      <c r="J65" s="4" t="s">
        <v>433</v>
      </c>
      <c r="K65" s="4" t="s">
        <v>345</v>
      </c>
      <c r="L65" s="4" t="s">
        <v>434</v>
      </c>
      <c r="M65" s="11" t="str">
        <f aca="false">IF(AND($G65&lt;=M$5,$H65&gt;=M$4),"■","")</f>
        <v/>
      </c>
      <c r="N65" s="11" t="str">
        <f aca="false">IF(AND($G65&lt;=N$5,$H65&gt;=N$4),"■","")</f>
        <v/>
      </c>
      <c r="O65" s="11" t="str">
        <f aca="false">IF(AND($G65&lt;=O$5,$H65&gt;=O$4),"■","")</f>
        <v>■</v>
      </c>
      <c r="P65" s="11" t="str">
        <f aca="false">IF(AND($G65&lt;=P$5,$H65&gt;=P$4),"■","")</f>
        <v>■</v>
      </c>
      <c r="Q65" s="11" t="str">
        <f aca="false">IF(AND($G65&lt;=Q$5,$H65&gt;=Q$4),"■","")</f>
        <v>■</v>
      </c>
      <c r="R65" s="11" t="str">
        <f aca="false">IF(AND($G65&lt;=R$5,$H65&gt;=R$4),"■","")</f>
        <v>■</v>
      </c>
      <c r="S65" s="11" t="str">
        <f aca="false">IF(AND($G65&lt;=S$5,$H65&gt;=S$4),"■","")</f>
        <v>■</v>
      </c>
      <c r="T65" s="11" t="str">
        <f aca="false">IF(AND($G65&lt;=T$5,$H65&gt;=T$4),"■","")</f>
        <v>■</v>
      </c>
      <c r="U65" s="11" t="str">
        <f aca="false">IF(AND($G65&lt;=U$5,$H65&gt;=U$4),"■","")</f>
        <v>■</v>
      </c>
      <c r="V65" s="11" t="str">
        <f aca="false">IF(AND($G65&lt;=V$5,$H65&gt;=V$4),"■","")</f>
        <v>■</v>
      </c>
      <c r="W65" s="11" t="str">
        <f aca="false">IF(AND($G65&lt;=W$5,$H65&gt;=W$4),"■","")</f>
        <v>■</v>
      </c>
      <c r="X65" s="11" t="str">
        <f aca="false">IF(AND($G65&lt;=X$5,$H65&gt;=X$4),"■","")</f>
        <v>■</v>
      </c>
      <c r="Y65" s="11" t="str">
        <f aca="false">IF(AND($G65&lt;=Y$5,$H65&gt;=Y$4),"■","")</f>
        <v>■</v>
      </c>
      <c r="Z65" s="11" t="str">
        <f aca="false">IF(AND($G65&lt;=Z$5,$H65&gt;=Z$4),"■","")</f>
        <v>■</v>
      </c>
      <c r="AA65" s="11" t="str">
        <f aca="false">IF(AND($G65&lt;=AA$5,$H65&gt;=AA$4),"■","")</f>
        <v/>
      </c>
    </row>
    <row r="66" customFormat="false" ht="23.85" hidden="false" customHeight="false" outlineLevel="0" collapsed="false">
      <c r="A66" s="4" t="s">
        <v>435</v>
      </c>
      <c r="B66" s="4" t="s">
        <v>426</v>
      </c>
      <c r="C66" s="4" t="s">
        <v>436</v>
      </c>
      <c r="D66" s="4" t="s">
        <v>437</v>
      </c>
      <c r="E66" s="4" t="s">
        <v>32</v>
      </c>
      <c r="F66" s="15" t="s">
        <v>218</v>
      </c>
      <c r="G66" s="10" t="n">
        <v>7</v>
      </c>
      <c r="H66" s="10" t="n">
        <v>90</v>
      </c>
      <c r="I66" s="16" t="n">
        <f aca="false">IF(OR(LEFT($B66,2)="P0",$H66&lt;=$G$3),$H66,IF(LEFT($B66,2)="P9",$H66-$E$3+$C$3,ROUND($H66*$C$3/$E$3,0)))</f>
        <v>90</v>
      </c>
      <c r="J66" s="4" t="s">
        <v>438</v>
      </c>
      <c r="K66" s="4"/>
      <c r="L66" s="4" t="s">
        <v>439</v>
      </c>
      <c r="M66" s="11" t="str">
        <f aca="false">IF(AND($G66&lt;=M$5,$H66&gt;=M$4),"■","")</f>
        <v/>
      </c>
      <c r="N66" s="11" t="str">
        <f aca="false">IF(AND($G66&lt;=N$5,$H66&gt;=N$4),"■","")</f>
        <v/>
      </c>
      <c r="O66" s="11" t="str">
        <f aca="false">IF(AND($G66&lt;=O$5,$H66&gt;=O$4),"■","")</f>
        <v>■</v>
      </c>
      <c r="P66" s="11" t="str">
        <f aca="false">IF(AND($G66&lt;=P$5,$H66&gt;=P$4),"■","")</f>
        <v>■</v>
      </c>
      <c r="Q66" s="11" t="str">
        <f aca="false">IF(AND($G66&lt;=Q$5,$H66&gt;=Q$4),"■","")</f>
        <v>■</v>
      </c>
      <c r="R66" s="11" t="str">
        <f aca="false">IF(AND($G66&lt;=R$5,$H66&gt;=R$4),"■","")</f>
        <v>■</v>
      </c>
      <c r="S66" s="11" t="str">
        <f aca="false">IF(AND($G66&lt;=S$5,$H66&gt;=S$4),"■","")</f>
        <v>■</v>
      </c>
      <c r="T66" s="11" t="str">
        <f aca="false">IF(AND($G66&lt;=T$5,$H66&gt;=T$4),"■","")</f>
        <v>■</v>
      </c>
      <c r="U66" s="11" t="str">
        <f aca="false">IF(AND($G66&lt;=U$5,$H66&gt;=U$4),"■","")</f>
        <v>■</v>
      </c>
      <c r="V66" s="11" t="str">
        <f aca="false">IF(AND($G66&lt;=V$5,$H66&gt;=V$4),"■","")</f>
        <v>■</v>
      </c>
      <c r="W66" s="11" t="str">
        <f aca="false">IF(AND($G66&lt;=W$5,$H66&gt;=W$4),"■","")</f>
        <v>■</v>
      </c>
      <c r="X66" s="11" t="str">
        <f aca="false">IF(AND($G66&lt;=X$5,$H66&gt;=X$4),"■","")</f>
        <v>■</v>
      </c>
      <c r="Y66" s="11" t="str">
        <f aca="false">IF(AND($G66&lt;=Y$5,$H66&gt;=Y$4),"■","")</f>
        <v>■</v>
      </c>
      <c r="Z66" s="11" t="str">
        <f aca="false">IF(AND($G66&lt;=Z$5,$H66&gt;=Z$4),"■","")</f>
        <v>■</v>
      </c>
      <c r="AA66" s="11" t="str">
        <f aca="false">IF(AND($G66&lt;=AA$5,$H66&gt;=AA$4),"■","")</f>
        <v/>
      </c>
    </row>
    <row r="67" customFormat="false" ht="23.85" hidden="false" customHeight="false" outlineLevel="0" collapsed="false">
      <c r="A67" s="4" t="s">
        <v>440</v>
      </c>
      <c r="B67" s="4" t="s">
        <v>426</v>
      </c>
      <c r="C67" s="4" t="s">
        <v>441</v>
      </c>
      <c r="D67" s="4" t="s">
        <v>442</v>
      </c>
      <c r="E67" s="4" t="s">
        <v>32</v>
      </c>
      <c r="F67" s="15" t="s">
        <v>205</v>
      </c>
      <c r="G67" s="10" t="n">
        <v>7</v>
      </c>
      <c r="H67" s="10" t="n">
        <v>90</v>
      </c>
      <c r="I67" s="16" t="n">
        <f aca="false">IF(OR(LEFT($B67,2)="P0",$H67&lt;=$G$3),$H67,IF(LEFT($B67,2)="P9",$H67-$E$3+$C$3,ROUND($H67*$C$3/$E$3,0)))</f>
        <v>90</v>
      </c>
      <c r="J67" s="4" t="s">
        <v>438</v>
      </c>
      <c r="K67" s="4"/>
      <c r="L67" s="4" t="s">
        <v>439</v>
      </c>
      <c r="M67" s="11" t="str">
        <f aca="false">IF(AND($G67&lt;=M$5,$H67&gt;=M$4),"■","")</f>
        <v/>
      </c>
      <c r="N67" s="11" t="str">
        <f aca="false">IF(AND($G67&lt;=N$5,$H67&gt;=N$4),"■","")</f>
        <v/>
      </c>
      <c r="O67" s="11" t="str">
        <f aca="false">IF(AND($G67&lt;=O$5,$H67&gt;=O$4),"■","")</f>
        <v>■</v>
      </c>
      <c r="P67" s="11" t="str">
        <f aca="false">IF(AND($G67&lt;=P$5,$H67&gt;=P$4),"■","")</f>
        <v>■</v>
      </c>
      <c r="Q67" s="11" t="str">
        <f aca="false">IF(AND($G67&lt;=Q$5,$H67&gt;=Q$4),"■","")</f>
        <v>■</v>
      </c>
      <c r="R67" s="11" t="str">
        <f aca="false">IF(AND($G67&lt;=R$5,$H67&gt;=R$4),"■","")</f>
        <v>■</v>
      </c>
      <c r="S67" s="11" t="str">
        <f aca="false">IF(AND($G67&lt;=S$5,$H67&gt;=S$4),"■","")</f>
        <v>■</v>
      </c>
      <c r="T67" s="11" t="str">
        <f aca="false">IF(AND($G67&lt;=T$5,$H67&gt;=T$4),"■","")</f>
        <v>■</v>
      </c>
      <c r="U67" s="11" t="str">
        <f aca="false">IF(AND($G67&lt;=U$5,$H67&gt;=U$4),"■","")</f>
        <v>■</v>
      </c>
      <c r="V67" s="11" t="str">
        <f aca="false">IF(AND($G67&lt;=V$5,$H67&gt;=V$4),"■","")</f>
        <v>■</v>
      </c>
      <c r="W67" s="11" t="str">
        <f aca="false">IF(AND($G67&lt;=W$5,$H67&gt;=W$4),"■","")</f>
        <v>■</v>
      </c>
      <c r="X67" s="11" t="str">
        <f aca="false">IF(AND($G67&lt;=X$5,$H67&gt;=X$4),"■","")</f>
        <v>■</v>
      </c>
      <c r="Y67" s="11" t="str">
        <f aca="false">IF(AND($G67&lt;=Y$5,$H67&gt;=Y$4),"■","")</f>
        <v>■</v>
      </c>
      <c r="Z67" s="11" t="str">
        <f aca="false">IF(AND($G67&lt;=Z$5,$H67&gt;=Z$4),"■","")</f>
        <v>■</v>
      </c>
      <c r="AA67" s="11" t="str">
        <f aca="false">IF(AND($G67&lt;=AA$5,$H67&gt;=AA$4),"■","")</f>
        <v/>
      </c>
    </row>
    <row r="68" customFormat="false" ht="23.85" hidden="false" customHeight="false" outlineLevel="0" collapsed="false">
      <c r="A68" s="4" t="s">
        <v>443</v>
      </c>
      <c r="B68" s="4" t="s">
        <v>426</v>
      </c>
      <c r="C68" s="4" t="s">
        <v>444</v>
      </c>
      <c r="D68" s="4" t="s">
        <v>445</v>
      </c>
      <c r="E68" s="4" t="s">
        <v>32</v>
      </c>
      <c r="F68" s="15" t="s">
        <v>205</v>
      </c>
      <c r="G68" s="10" t="n">
        <v>7</v>
      </c>
      <c r="H68" s="10" t="n">
        <v>90</v>
      </c>
      <c r="I68" s="16" t="n">
        <f aca="false">IF(OR(LEFT($B68,2)="P0",$H68&lt;=$G$3),$H68,IF(LEFT($B68,2)="P9",$H68-$E$3+$C$3,ROUND($H68*$C$3/$E$3,0)))</f>
        <v>90</v>
      </c>
      <c r="J68" s="4" t="s">
        <v>429</v>
      </c>
      <c r="K68" s="4"/>
      <c r="L68" s="4" t="s">
        <v>446</v>
      </c>
      <c r="M68" s="11" t="str">
        <f aca="false">IF(AND($G68&lt;=M$5,$H68&gt;=M$4),"■","")</f>
        <v/>
      </c>
      <c r="N68" s="11" t="str">
        <f aca="false">IF(AND($G68&lt;=N$5,$H68&gt;=N$4),"■","")</f>
        <v/>
      </c>
      <c r="O68" s="11" t="str">
        <f aca="false">IF(AND($G68&lt;=O$5,$H68&gt;=O$4),"■","")</f>
        <v>■</v>
      </c>
      <c r="P68" s="11" t="str">
        <f aca="false">IF(AND($G68&lt;=P$5,$H68&gt;=P$4),"■","")</f>
        <v>■</v>
      </c>
      <c r="Q68" s="11" t="str">
        <f aca="false">IF(AND($G68&lt;=Q$5,$H68&gt;=Q$4),"■","")</f>
        <v>■</v>
      </c>
      <c r="R68" s="11" t="str">
        <f aca="false">IF(AND($G68&lt;=R$5,$H68&gt;=R$4),"■","")</f>
        <v>■</v>
      </c>
      <c r="S68" s="11" t="str">
        <f aca="false">IF(AND($G68&lt;=S$5,$H68&gt;=S$4),"■","")</f>
        <v>■</v>
      </c>
      <c r="T68" s="11" t="str">
        <f aca="false">IF(AND($G68&lt;=T$5,$H68&gt;=T$4),"■","")</f>
        <v>■</v>
      </c>
      <c r="U68" s="11" t="str">
        <f aca="false">IF(AND($G68&lt;=U$5,$H68&gt;=U$4),"■","")</f>
        <v>■</v>
      </c>
      <c r="V68" s="11" t="str">
        <f aca="false">IF(AND($G68&lt;=V$5,$H68&gt;=V$4),"■","")</f>
        <v>■</v>
      </c>
      <c r="W68" s="11" t="str">
        <f aca="false">IF(AND($G68&lt;=W$5,$H68&gt;=W$4),"■","")</f>
        <v>■</v>
      </c>
      <c r="X68" s="11" t="str">
        <f aca="false">IF(AND($G68&lt;=X$5,$H68&gt;=X$4),"■","")</f>
        <v>■</v>
      </c>
      <c r="Y68" s="11" t="str">
        <f aca="false">IF(AND($G68&lt;=Y$5,$H68&gt;=Y$4),"■","")</f>
        <v>■</v>
      </c>
      <c r="Z68" s="11" t="str">
        <f aca="false">IF(AND($G68&lt;=Z$5,$H68&gt;=Z$4),"■","")</f>
        <v>■</v>
      </c>
      <c r="AA68" s="11" t="str">
        <f aca="false">IF(AND($G68&lt;=AA$5,$H68&gt;=AA$4),"■","")</f>
        <v/>
      </c>
    </row>
    <row r="69" customFormat="false" ht="23.85" hidden="false" customHeight="false" outlineLevel="0" collapsed="false">
      <c r="A69" s="4" t="s">
        <v>447</v>
      </c>
      <c r="B69" s="4" t="s">
        <v>426</v>
      </c>
      <c r="C69" s="4" t="s">
        <v>448</v>
      </c>
      <c r="D69" s="4" t="s">
        <v>449</v>
      </c>
      <c r="E69" s="4" t="s">
        <v>32</v>
      </c>
      <c r="F69" s="15" t="s">
        <v>218</v>
      </c>
      <c r="G69" s="10" t="n">
        <v>30</v>
      </c>
      <c r="H69" s="10" t="n">
        <v>60</v>
      </c>
      <c r="I69" s="16" t="n">
        <f aca="false">IF(OR(LEFT($B69,2)="P0",$H69&lt;=$G$3),$H69,IF(LEFT($B69,2)="P9",$H69-$E$3+$C$3,ROUND($H69*$C$3/$E$3,0)))</f>
        <v>60</v>
      </c>
      <c r="J69" s="4" t="s">
        <v>450</v>
      </c>
      <c r="K69" s="4" t="s">
        <v>307</v>
      </c>
      <c r="L69" s="4" t="s">
        <v>306</v>
      </c>
      <c r="M69" s="11" t="str">
        <f aca="false">IF(AND($G69&lt;=M$5,$H69&gt;=M$4),"■","")</f>
        <v/>
      </c>
      <c r="N69" s="11" t="str">
        <f aca="false">IF(AND($G69&lt;=N$5,$H69&gt;=N$4),"■","")</f>
        <v/>
      </c>
      <c r="O69" s="11" t="str">
        <f aca="false">IF(AND($G69&lt;=O$5,$H69&gt;=O$4),"■","")</f>
        <v/>
      </c>
      <c r="P69" s="11" t="str">
        <f aca="false">IF(AND($G69&lt;=P$5,$H69&gt;=P$4),"■","")</f>
        <v/>
      </c>
      <c r="Q69" s="11" t="str">
        <f aca="false">IF(AND($G69&lt;=Q$5,$H69&gt;=Q$4),"■","")</f>
        <v/>
      </c>
      <c r="R69" s="11" t="str">
        <f aca="false">IF(AND($G69&lt;=R$5,$H69&gt;=R$4),"■","")</f>
        <v>■</v>
      </c>
      <c r="S69" s="11" t="str">
        <f aca="false">IF(AND($G69&lt;=S$5,$H69&gt;=S$4),"■","")</f>
        <v>■</v>
      </c>
      <c r="T69" s="11" t="str">
        <f aca="false">IF(AND($G69&lt;=T$5,$H69&gt;=T$4),"■","")</f>
        <v>■</v>
      </c>
      <c r="U69" s="11" t="str">
        <f aca="false">IF(AND($G69&lt;=U$5,$H69&gt;=U$4),"■","")</f>
        <v>■</v>
      </c>
      <c r="V69" s="11" t="str">
        <f aca="false">IF(AND($G69&lt;=V$5,$H69&gt;=V$4),"■","")</f>
        <v>■</v>
      </c>
      <c r="W69" s="11" t="str">
        <f aca="false">IF(AND($G69&lt;=W$5,$H69&gt;=W$4),"■","")</f>
        <v/>
      </c>
      <c r="X69" s="11" t="str">
        <f aca="false">IF(AND($G69&lt;=X$5,$H69&gt;=X$4),"■","")</f>
        <v/>
      </c>
      <c r="Y69" s="11" t="str">
        <f aca="false">IF(AND($G69&lt;=Y$5,$H69&gt;=Y$4),"■","")</f>
        <v/>
      </c>
      <c r="Z69" s="11" t="str">
        <f aca="false">IF(AND($G69&lt;=Z$5,$H69&gt;=Z$4),"■","")</f>
        <v/>
      </c>
      <c r="AA69" s="11" t="str">
        <f aca="false">IF(AND($G69&lt;=AA$5,$H69&gt;=AA$4),"■","")</f>
        <v/>
      </c>
    </row>
    <row r="70" customFormat="false" ht="15" hidden="false" customHeight="false" outlineLevel="0" collapsed="false">
      <c r="A70" s="4" t="s">
        <v>451</v>
      </c>
      <c r="B70" s="4" t="s">
        <v>426</v>
      </c>
      <c r="C70" s="4" t="s">
        <v>452</v>
      </c>
      <c r="D70" s="4" t="s">
        <v>453</v>
      </c>
      <c r="E70" s="4" t="s">
        <v>30</v>
      </c>
      <c r="F70" s="15" t="s">
        <v>205</v>
      </c>
      <c r="G70" s="10" t="n">
        <v>7</v>
      </c>
      <c r="H70" s="10" t="n">
        <v>90</v>
      </c>
      <c r="I70" s="16" t="n">
        <f aca="false">IF(OR(LEFT($B70,2)="P0",$H70&lt;=$G$3),$H70,IF(LEFT($B70,2)="P9",$H70-$E$3+$C$3,ROUND($H70*$C$3/$E$3,0)))</f>
        <v>90</v>
      </c>
      <c r="J70" s="4" t="s">
        <v>429</v>
      </c>
      <c r="K70" s="4"/>
      <c r="L70" s="4" t="s">
        <v>454</v>
      </c>
      <c r="M70" s="11" t="str">
        <f aca="false">IF(AND($G70&lt;=M$5,$H70&gt;=M$4),"■","")</f>
        <v/>
      </c>
      <c r="N70" s="11" t="str">
        <f aca="false">IF(AND($G70&lt;=N$5,$H70&gt;=N$4),"■","")</f>
        <v/>
      </c>
      <c r="O70" s="11" t="str">
        <f aca="false">IF(AND($G70&lt;=O$5,$H70&gt;=O$4),"■","")</f>
        <v>■</v>
      </c>
      <c r="P70" s="11" t="str">
        <f aca="false">IF(AND($G70&lt;=P$5,$H70&gt;=P$4),"■","")</f>
        <v>■</v>
      </c>
      <c r="Q70" s="11" t="str">
        <f aca="false">IF(AND($G70&lt;=Q$5,$H70&gt;=Q$4),"■","")</f>
        <v>■</v>
      </c>
      <c r="R70" s="11" t="str">
        <f aca="false">IF(AND($G70&lt;=R$5,$H70&gt;=R$4),"■","")</f>
        <v>■</v>
      </c>
      <c r="S70" s="11" t="str">
        <f aca="false">IF(AND($G70&lt;=S$5,$H70&gt;=S$4),"■","")</f>
        <v>■</v>
      </c>
      <c r="T70" s="11" t="str">
        <f aca="false">IF(AND($G70&lt;=T$5,$H70&gt;=T$4),"■","")</f>
        <v>■</v>
      </c>
      <c r="U70" s="11" t="str">
        <f aca="false">IF(AND($G70&lt;=U$5,$H70&gt;=U$4),"■","")</f>
        <v>■</v>
      </c>
      <c r="V70" s="11" t="str">
        <f aca="false">IF(AND($G70&lt;=V$5,$H70&gt;=V$4),"■","")</f>
        <v>■</v>
      </c>
      <c r="W70" s="11" t="str">
        <f aca="false">IF(AND($G70&lt;=W$5,$H70&gt;=W$4),"■","")</f>
        <v>■</v>
      </c>
      <c r="X70" s="11" t="str">
        <f aca="false">IF(AND($G70&lt;=X$5,$H70&gt;=X$4),"■","")</f>
        <v>■</v>
      </c>
      <c r="Y70" s="11" t="str">
        <f aca="false">IF(AND($G70&lt;=Y$5,$H70&gt;=Y$4),"■","")</f>
        <v>■</v>
      </c>
      <c r="Z70" s="11" t="str">
        <f aca="false">IF(AND($G70&lt;=Z$5,$H70&gt;=Z$4),"■","")</f>
        <v>■</v>
      </c>
      <c r="AA70" s="11" t="str">
        <f aca="false">IF(AND($G70&lt;=AA$5,$H70&gt;=AA$4),"■","")</f>
        <v/>
      </c>
    </row>
    <row r="71" customFormat="false" ht="23.85" hidden="false" customHeight="false" outlineLevel="0" collapsed="false">
      <c r="A71" s="4" t="s">
        <v>455</v>
      </c>
      <c r="B71" s="4" t="s">
        <v>456</v>
      </c>
      <c r="C71" s="4" t="s">
        <v>457</v>
      </c>
      <c r="D71" s="4" t="s">
        <v>458</v>
      </c>
      <c r="E71" s="4" t="s">
        <v>32</v>
      </c>
      <c r="F71" s="15" t="s">
        <v>205</v>
      </c>
      <c r="G71" s="10" t="n">
        <v>55</v>
      </c>
      <c r="H71" s="10" t="n">
        <v>60</v>
      </c>
      <c r="I71" s="16" t="n">
        <f aca="false">IF(OR(LEFT($B71,2)="P0",$H71&lt;=$G$3),$H71,IF(LEFT($B71,2)="P9",$H71-$E$3+$C$3,ROUND($H71*$C$3/$E$3,0)))</f>
        <v>60</v>
      </c>
      <c r="J71" s="4"/>
      <c r="K71" s="4" t="s">
        <v>440</v>
      </c>
      <c r="L71" s="4" t="s">
        <v>294</v>
      </c>
      <c r="M71" s="11" t="str">
        <f aca="false">IF(AND($G71&lt;=M$5,$H71&gt;=M$4),"■","")</f>
        <v/>
      </c>
      <c r="N71" s="11" t="str">
        <f aca="false">IF(AND($G71&lt;=N$5,$H71&gt;=N$4),"■","")</f>
        <v/>
      </c>
      <c r="O71" s="11" t="str">
        <f aca="false">IF(AND($G71&lt;=O$5,$H71&gt;=O$4),"■","")</f>
        <v/>
      </c>
      <c r="P71" s="11" t="str">
        <f aca="false">IF(AND($G71&lt;=P$5,$H71&gt;=P$4),"■","")</f>
        <v/>
      </c>
      <c r="Q71" s="11" t="str">
        <f aca="false">IF(AND($G71&lt;=Q$5,$H71&gt;=Q$4),"■","")</f>
        <v/>
      </c>
      <c r="R71" s="11" t="str">
        <f aca="false">IF(AND($G71&lt;=R$5,$H71&gt;=R$4),"■","")</f>
        <v/>
      </c>
      <c r="S71" s="11" t="str">
        <f aca="false">IF(AND($G71&lt;=S$5,$H71&gt;=S$4),"■","")</f>
        <v/>
      </c>
      <c r="T71" s="11" t="str">
        <f aca="false">IF(AND($G71&lt;=T$5,$H71&gt;=T$4),"■","")</f>
        <v/>
      </c>
      <c r="U71" s="11" t="str">
        <f aca="false">IF(AND($G71&lt;=U$5,$H71&gt;=U$4),"■","")</f>
        <v>■</v>
      </c>
      <c r="V71" s="11" t="str">
        <f aca="false">IF(AND($G71&lt;=V$5,$H71&gt;=V$4),"■","")</f>
        <v>■</v>
      </c>
      <c r="W71" s="11" t="str">
        <f aca="false">IF(AND($G71&lt;=W$5,$H71&gt;=W$4),"■","")</f>
        <v/>
      </c>
      <c r="X71" s="11" t="str">
        <f aca="false">IF(AND($G71&lt;=X$5,$H71&gt;=X$4),"■","")</f>
        <v/>
      </c>
      <c r="Y71" s="11" t="str">
        <f aca="false">IF(AND($G71&lt;=Y$5,$H71&gt;=Y$4),"■","")</f>
        <v/>
      </c>
      <c r="Z71" s="11" t="str">
        <f aca="false">IF(AND($G71&lt;=Z$5,$H71&gt;=Z$4),"■","")</f>
        <v/>
      </c>
      <c r="AA71" s="11" t="str">
        <f aca="false">IF(AND($G71&lt;=AA$5,$H71&gt;=AA$4),"■","")</f>
        <v/>
      </c>
    </row>
    <row r="72" customFormat="false" ht="23.85" hidden="false" customHeight="false" outlineLevel="0" collapsed="false">
      <c r="A72" s="4" t="s">
        <v>459</v>
      </c>
      <c r="B72" s="4" t="s">
        <v>456</v>
      </c>
      <c r="C72" s="4" t="s">
        <v>81</v>
      </c>
      <c r="D72" s="4" t="s">
        <v>460</v>
      </c>
      <c r="E72" s="4" t="s">
        <v>32</v>
      </c>
      <c r="F72" s="15" t="s">
        <v>218</v>
      </c>
      <c r="G72" s="10" t="n">
        <v>60</v>
      </c>
      <c r="H72" s="10" t="n">
        <v>65</v>
      </c>
      <c r="I72" s="16" t="n">
        <f aca="false">IF(OR(LEFT($B72,2)="P0",$H72&lt;=$G$3),$H72,IF(LEFT($B72,2)="P9",$H72-$E$3+$C$3,ROUND($H72*$C$3/$E$3,0)))</f>
        <v>65</v>
      </c>
      <c r="J72" s="4"/>
      <c r="K72" s="4" t="s">
        <v>455</v>
      </c>
      <c r="L72" s="4" t="s">
        <v>306</v>
      </c>
      <c r="M72" s="11" t="str">
        <f aca="false">IF(AND($G72&lt;=M$5,$H72&gt;=M$4),"■","")</f>
        <v/>
      </c>
      <c r="N72" s="11" t="str">
        <f aca="false">IF(AND($G72&lt;=N$5,$H72&gt;=N$4),"■","")</f>
        <v/>
      </c>
      <c r="O72" s="11" t="str">
        <f aca="false">IF(AND($G72&lt;=O$5,$H72&gt;=O$4),"■","")</f>
        <v/>
      </c>
      <c r="P72" s="11" t="str">
        <f aca="false">IF(AND($G72&lt;=P$5,$H72&gt;=P$4),"■","")</f>
        <v/>
      </c>
      <c r="Q72" s="11" t="str">
        <f aca="false">IF(AND($G72&lt;=Q$5,$H72&gt;=Q$4),"■","")</f>
        <v/>
      </c>
      <c r="R72" s="11" t="str">
        <f aca="false">IF(AND($G72&lt;=R$5,$H72&gt;=R$4),"■","")</f>
        <v/>
      </c>
      <c r="S72" s="11" t="str">
        <f aca="false">IF(AND($G72&lt;=S$5,$H72&gt;=S$4),"■","")</f>
        <v/>
      </c>
      <c r="T72" s="11" t="str">
        <f aca="false">IF(AND($G72&lt;=T$5,$H72&gt;=T$4),"■","")</f>
        <v/>
      </c>
      <c r="U72" s="11" t="str">
        <f aca="false">IF(AND($G72&lt;=U$5,$H72&gt;=U$4),"■","")</f>
        <v/>
      </c>
      <c r="V72" s="11" t="str">
        <f aca="false">IF(AND($G72&lt;=V$5,$H72&gt;=V$4),"■","")</f>
        <v>■</v>
      </c>
      <c r="W72" s="11" t="str">
        <f aca="false">IF(AND($G72&lt;=W$5,$H72&gt;=W$4),"■","")</f>
        <v>■</v>
      </c>
      <c r="X72" s="11" t="str">
        <f aca="false">IF(AND($G72&lt;=X$5,$H72&gt;=X$4),"■","")</f>
        <v/>
      </c>
      <c r="Y72" s="11" t="str">
        <f aca="false">IF(AND($G72&lt;=Y$5,$H72&gt;=Y$4),"■","")</f>
        <v/>
      </c>
      <c r="Z72" s="11" t="str">
        <f aca="false">IF(AND($G72&lt;=Z$5,$H72&gt;=Z$4),"■","")</f>
        <v/>
      </c>
      <c r="AA72" s="11" t="str">
        <f aca="false">IF(AND($G72&lt;=AA$5,$H72&gt;=AA$4),"■","")</f>
        <v/>
      </c>
    </row>
    <row r="73" customFormat="false" ht="15" hidden="false" customHeight="false" outlineLevel="0" collapsed="false">
      <c r="A73" s="4" t="s">
        <v>461</v>
      </c>
      <c r="B73" s="4" t="s">
        <v>456</v>
      </c>
      <c r="C73" s="4" t="s">
        <v>462</v>
      </c>
      <c r="D73" s="4" t="s">
        <v>463</v>
      </c>
      <c r="E73" s="4" t="s">
        <v>32</v>
      </c>
      <c r="F73" s="15" t="s">
        <v>218</v>
      </c>
      <c r="G73" s="10" t="n">
        <v>62</v>
      </c>
      <c r="H73" s="10" t="n">
        <v>70</v>
      </c>
      <c r="I73" s="16" t="n">
        <f aca="false">IF(OR(LEFT($B73,2)="P0",$H73&lt;=$G$3),$H73,IF(LEFT($B73,2)="P9",$H73-$E$3+$C$3,ROUND($H73*$C$3/$E$3,0)))</f>
        <v>70</v>
      </c>
      <c r="J73" s="4"/>
      <c r="K73" s="4" t="s">
        <v>459</v>
      </c>
      <c r="L73" s="4" t="s">
        <v>464</v>
      </c>
      <c r="M73" s="11" t="str">
        <f aca="false">IF(AND($G73&lt;=M$5,$H73&gt;=M$4),"■","")</f>
        <v/>
      </c>
      <c r="N73" s="11" t="str">
        <f aca="false">IF(AND($G73&lt;=N$5,$H73&gt;=N$4),"■","")</f>
        <v/>
      </c>
      <c r="O73" s="11" t="str">
        <f aca="false">IF(AND($G73&lt;=O$5,$H73&gt;=O$4),"■","")</f>
        <v/>
      </c>
      <c r="P73" s="11" t="str">
        <f aca="false">IF(AND($G73&lt;=P$5,$H73&gt;=P$4),"■","")</f>
        <v/>
      </c>
      <c r="Q73" s="11" t="str">
        <f aca="false">IF(AND($G73&lt;=Q$5,$H73&gt;=Q$4),"■","")</f>
        <v/>
      </c>
      <c r="R73" s="11" t="str">
        <f aca="false">IF(AND($G73&lt;=R$5,$H73&gt;=R$4),"■","")</f>
        <v/>
      </c>
      <c r="S73" s="11" t="str">
        <f aca="false">IF(AND($G73&lt;=S$5,$H73&gt;=S$4),"■","")</f>
        <v/>
      </c>
      <c r="T73" s="11" t="str">
        <f aca="false">IF(AND($G73&lt;=T$5,$H73&gt;=T$4),"■","")</f>
        <v/>
      </c>
      <c r="U73" s="11" t="str">
        <f aca="false">IF(AND($G73&lt;=U$5,$H73&gt;=U$4),"■","")</f>
        <v/>
      </c>
      <c r="V73" s="11" t="str">
        <f aca="false">IF(AND($G73&lt;=V$5,$H73&gt;=V$4),"■","")</f>
        <v>■</v>
      </c>
      <c r="W73" s="11" t="str">
        <f aca="false">IF(AND($G73&lt;=W$5,$H73&gt;=W$4),"■","")</f>
        <v>■</v>
      </c>
      <c r="X73" s="11" t="str">
        <f aca="false">IF(AND($G73&lt;=X$5,$H73&gt;=X$4),"■","")</f>
        <v>■</v>
      </c>
      <c r="Y73" s="11" t="str">
        <f aca="false">IF(AND($G73&lt;=Y$5,$H73&gt;=Y$4),"■","")</f>
        <v/>
      </c>
      <c r="Z73" s="11" t="str">
        <f aca="false">IF(AND($G73&lt;=Z$5,$H73&gt;=Z$4),"■","")</f>
        <v/>
      </c>
      <c r="AA73" s="11" t="str">
        <f aca="false">IF(AND($G73&lt;=AA$5,$H73&gt;=AA$4),"■","")</f>
        <v/>
      </c>
    </row>
    <row r="74" customFormat="false" ht="23.85" hidden="false" customHeight="false" outlineLevel="0" collapsed="false">
      <c r="A74" s="4" t="s">
        <v>465</v>
      </c>
      <c r="B74" s="4" t="s">
        <v>456</v>
      </c>
      <c r="C74" s="4" t="s">
        <v>466</v>
      </c>
      <c r="D74" s="4" t="s">
        <v>467</v>
      </c>
      <c r="E74" s="4" t="s">
        <v>32</v>
      </c>
      <c r="F74" s="15" t="s">
        <v>218</v>
      </c>
      <c r="G74" s="10" t="n">
        <v>80</v>
      </c>
      <c r="H74" s="10" t="n">
        <v>88</v>
      </c>
      <c r="I74" s="16" t="n">
        <f aca="false">IF(OR(LEFT($B74,2)="P0",$H74&lt;=$G$3),$H74,IF(LEFT($B74,2)="P9",$H74-$E$3+$C$3,ROUND($H74*$C$3/$E$3,0)))</f>
        <v>88</v>
      </c>
      <c r="J74" s="4"/>
      <c r="K74" s="4" t="s">
        <v>397</v>
      </c>
      <c r="L74" s="4" t="s">
        <v>468</v>
      </c>
      <c r="M74" s="11" t="str">
        <f aca="false">IF(AND($G74&lt;=M$5,$H74&gt;=M$4),"■","")</f>
        <v/>
      </c>
      <c r="N74" s="11" t="str">
        <f aca="false">IF(AND($G74&lt;=N$5,$H74&gt;=N$4),"■","")</f>
        <v/>
      </c>
      <c r="O74" s="11" t="str">
        <f aca="false">IF(AND($G74&lt;=O$5,$H74&gt;=O$4),"■","")</f>
        <v/>
      </c>
      <c r="P74" s="11" t="str">
        <f aca="false">IF(AND($G74&lt;=P$5,$H74&gt;=P$4),"■","")</f>
        <v/>
      </c>
      <c r="Q74" s="11" t="str">
        <f aca="false">IF(AND($G74&lt;=Q$5,$H74&gt;=Q$4),"■","")</f>
        <v/>
      </c>
      <c r="R74" s="11" t="str">
        <f aca="false">IF(AND($G74&lt;=R$5,$H74&gt;=R$4),"■","")</f>
        <v/>
      </c>
      <c r="S74" s="11" t="str">
        <f aca="false">IF(AND($G74&lt;=S$5,$H74&gt;=S$4),"■","")</f>
        <v/>
      </c>
      <c r="T74" s="11" t="str">
        <f aca="false">IF(AND($G74&lt;=T$5,$H74&gt;=T$4),"■","")</f>
        <v/>
      </c>
      <c r="U74" s="11" t="str">
        <f aca="false">IF(AND($G74&lt;=U$5,$H74&gt;=U$4),"■","")</f>
        <v/>
      </c>
      <c r="V74" s="11" t="str">
        <f aca="false">IF(AND($G74&lt;=V$5,$H74&gt;=V$4),"■","")</f>
        <v/>
      </c>
      <c r="W74" s="11" t="str">
        <f aca="false">IF(AND($G74&lt;=W$5,$H74&gt;=W$4),"■","")</f>
        <v/>
      </c>
      <c r="X74" s="11" t="str">
        <f aca="false">IF(AND($G74&lt;=X$5,$H74&gt;=X$4),"■","")</f>
        <v/>
      </c>
      <c r="Y74" s="11" t="str">
        <f aca="false">IF(AND($G74&lt;=Y$5,$H74&gt;=Y$4),"■","")</f>
        <v>■</v>
      </c>
      <c r="Z74" s="11" t="str">
        <f aca="false">IF(AND($G74&lt;=Z$5,$H74&gt;=Z$4),"■","")</f>
        <v>■</v>
      </c>
      <c r="AA74" s="11" t="str">
        <f aca="false">IF(AND($G74&lt;=AA$5,$H74&gt;=AA$4),"■","")</f>
        <v/>
      </c>
    </row>
    <row r="75" customFormat="false" ht="23.85" hidden="false" customHeight="false" outlineLevel="0" collapsed="false">
      <c r="A75" s="4" t="s">
        <v>469</v>
      </c>
      <c r="B75" s="4" t="s">
        <v>456</v>
      </c>
      <c r="C75" s="4" t="s">
        <v>470</v>
      </c>
      <c r="D75" s="4" t="s">
        <v>471</v>
      </c>
      <c r="E75" s="4" t="s">
        <v>32</v>
      </c>
      <c r="F75" s="15" t="s">
        <v>218</v>
      </c>
      <c r="G75" s="10" t="n">
        <v>85</v>
      </c>
      <c r="H75" s="10" t="n">
        <v>90</v>
      </c>
      <c r="I75" s="16" t="n">
        <f aca="false">IF(OR(LEFT($B75,2)="P0",$H75&lt;=$G$3),$H75,IF(LEFT($B75,2)="P9",$H75-$E$3+$C$3,ROUND($H75*$C$3/$E$3,0)))</f>
        <v>90</v>
      </c>
      <c r="J75" s="4"/>
      <c r="K75" s="4" t="s">
        <v>465</v>
      </c>
      <c r="L75" s="4" t="s">
        <v>472</v>
      </c>
      <c r="M75" s="11" t="str">
        <f aca="false">IF(AND($G75&lt;=M$5,$H75&gt;=M$4),"■","")</f>
        <v/>
      </c>
      <c r="N75" s="11" t="str">
        <f aca="false">IF(AND($G75&lt;=N$5,$H75&gt;=N$4),"■","")</f>
        <v/>
      </c>
      <c r="O75" s="11" t="str">
        <f aca="false">IF(AND($G75&lt;=O$5,$H75&gt;=O$4),"■","")</f>
        <v/>
      </c>
      <c r="P75" s="11" t="str">
        <f aca="false">IF(AND($G75&lt;=P$5,$H75&gt;=P$4),"■","")</f>
        <v/>
      </c>
      <c r="Q75" s="11" t="str">
        <f aca="false">IF(AND($G75&lt;=Q$5,$H75&gt;=Q$4),"■","")</f>
        <v/>
      </c>
      <c r="R75" s="11" t="str">
        <f aca="false">IF(AND($G75&lt;=R$5,$H75&gt;=R$4),"■","")</f>
        <v/>
      </c>
      <c r="S75" s="11" t="str">
        <f aca="false">IF(AND($G75&lt;=S$5,$H75&gt;=S$4),"■","")</f>
        <v/>
      </c>
      <c r="T75" s="11" t="str">
        <f aca="false">IF(AND($G75&lt;=T$5,$H75&gt;=T$4),"■","")</f>
        <v/>
      </c>
      <c r="U75" s="11" t="str">
        <f aca="false">IF(AND($G75&lt;=U$5,$H75&gt;=U$4),"■","")</f>
        <v/>
      </c>
      <c r="V75" s="11" t="str">
        <f aca="false">IF(AND($G75&lt;=V$5,$H75&gt;=V$4),"■","")</f>
        <v/>
      </c>
      <c r="W75" s="11" t="str">
        <f aca="false">IF(AND($G75&lt;=W$5,$H75&gt;=W$4),"■","")</f>
        <v/>
      </c>
      <c r="X75" s="11" t="str">
        <f aca="false">IF(AND($G75&lt;=X$5,$H75&gt;=X$4),"■","")</f>
        <v/>
      </c>
      <c r="Y75" s="11" t="str">
        <f aca="false">IF(AND($G75&lt;=Y$5,$H75&gt;=Y$4),"■","")</f>
        <v/>
      </c>
      <c r="Z75" s="11" t="str">
        <f aca="false">IF(AND($G75&lt;=Z$5,$H75&gt;=Z$4),"■","")</f>
        <v>■</v>
      </c>
      <c r="AA75" s="11" t="str">
        <f aca="false">IF(AND($G75&lt;=AA$5,$H75&gt;=AA$4),"■","")</f>
        <v/>
      </c>
    </row>
    <row r="76" customFormat="false" ht="23.85" hidden="false" customHeight="false" outlineLevel="0" collapsed="false">
      <c r="A76" s="4" t="s">
        <v>473</v>
      </c>
      <c r="B76" s="4" t="s">
        <v>474</v>
      </c>
      <c r="C76" s="4" t="s">
        <v>475</v>
      </c>
      <c r="D76" s="4" t="s">
        <v>476</v>
      </c>
      <c r="E76" s="4" t="s">
        <v>32</v>
      </c>
      <c r="F76" s="15" t="s">
        <v>218</v>
      </c>
      <c r="G76" s="10" t="n">
        <v>90</v>
      </c>
      <c r="H76" s="10" t="n">
        <v>270</v>
      </c>
      <c r="I76" s="16" t="n">
        <f aca="false">IF(OR(LEFT($B76,2)="P0",$H76&lt;=$G$3),$H76,IF(LEFT($B76,2)="P9",$H76-$E$3+$C$3,ROUND($H76*$C$3/$E$3,0)))</f>
        <v>270</v>
      </c>
      <c r="J76" s="4" t="s">
        <v>477</v>
      </c>
      <c r="K76" s="4" t="s">
        <v>469</v>
      </c>
      <c r="L76" s="4" t="s">
        <v>478</v>
      </c>
      <c r="M76" s="11" t="str">
        <f aca="false">IF(AND($G76&lt;=M$5,$H76&gt;=M$4),"■","")</f>
        <v/>
      </c>
      <c r="N76" s="11" t="str">
        <f aca="false">IF(AND($G76&lt;=N$5,$H76&gt;=N$4),"■","")</f>
        <v/>
      </c>
      <c r="O76" s="11" t="str">
        <f aca="false">IF(AND($G76&lt;=O$5,$H76&gt;=O$4),"■","")</f>
        <v/>
      </c>
      <c r="P76" s="11" t="str">
        <f aca="false">IF(AND($G76&lt;=P$5,$H76&gt;=P$4),"■","")</f>
        <v/>
      </c>
      <c r="Q76" s="11" t="str">
        <f aca="false">IF(AND($G76&lt;=Q$5,$H76&gt;=Q$4),"■","")</f>
        <v/>
      </c>
      <c r="R76" s="11" t="str">
        <f aca="false">IF(AND($G76&lt;=R$5,$H76&gt;=R$4),"■","")</f>
        <v/>
      </c>
      <c r="S76" s="11" t="str">
        <f aca="false">IF(AND($G76&lt;=S$5,$H76&gt;=S$4),"■","")</f>
        <v/>
      </c>
      <c r="T76" s="11" t="str">
        <f aca="false">IF(AND($G76&lt;=T$5,$H76&gt;=T$4),"■","")</f>
        <v/>
      </c>
      <c r="U76" s="11" t="str">
        <f aca="false">IF(AND($G76&lt;=U$5,$H76&gt;=U$4),"■","")</f>
        <v/>
      </c>
      <c r="V76" s="11" t="str">
        <f aca="false">IF(AND($G76&lt;=V$5,$H76&gt;=V$4),"■","")</f>
        <v/>
      </c>
      <c r="W76" s="11" t="str">
        <f aca="false">IF(AND($G76&lt;=W$5,$H76&gt;=W$4),"■","")</f>
        <v/>
      </c>
      <c r="X76" s="11" t="str">
        <f aca="false">IF(AND($G76&lt;=X$5,$H76&gt;=X$4),"■","")</f>
        <v/>
      </c>
      <c r="Y76" s="11" t="str">
        <f aca="false">IF(AND($G76&lt;=Y$5,$H76&gt;=Y$4),"■","")</f>
        <v/>
      </c>
      <c r="Z76" s="11" t="str">
        <f aca="false">IF(AND($G76&lt;=Z$5,$H76&gt;=Z$4),"■","")</f>
        <v>■</v>
      </c>
      <c r="AA76" s="11" t="str">
        <f aca="false">IF(AND($G76&lt;=AA$5,$H76&gt;=AA$4),"■","")</f>
        <v>■</v>
      </c>
    </row>
    <row r="77" customFormat="false" ht="23.85" hidden="false" customHeight="false" outlineLevel="0" collapsed="false">
      <c r="A77" s="4" t="s">
        <v>479</v>
      </c>
      <c r="B77" s="4" t="s">
        <v>474</v>
      </c>
      <c r="C77" s="4" t="s">
        <v>480</v>
      </c>
      <c r="D77" s="4" t="s">
        <v>481</v>
      </c>
      <c r="E77" s="4" t="s">
        <v>32</v>
      </c>
      <c r="F77" s="15" t="s">
        <v>218</v>
      </c>
      <c r="G77" s="10" t="n">
        <v>90</v>
      </c>
      <c r="H77" s="10" t="n">
        <v>270</v>
      </c>
      <c r="I77" s="16" t="n">
        <f aca="false">IF(OR(LEFT($B77,2)="P0",$H77&lt;=$G$3),$H77,IF(LEFT($B77,2)="P9",$H77-$E$3+$C$3,ROUND($H77*$C$3/$E$3,0)))</f>
        <v>270</v>
      </c>
      <c r="J77" s="4" t="s">
        <v>482</v>
      </c>
      <c r="K77" s="4" t="s">
        <v>469</v>
      </c>
      <c r="L77" s="4" t="s">
        <v>483</v>
      </c>
      <c r="M77" s="11" t="str">
        <f aca="false">IF(AND($G77&lt;=M$5,$H77&gt;=M$4),"■","")</f>
        <v/>
      </c>
      <c r="N77" s="11" t="str">
        <f aca="false">IF(AND($G77&lt;=N$5,$H77&gt;=N$4),"■","")</f>
        <v/>
      </c>
      <c r="O77" s="11" t="str">
        <f aca="false">IF(AND($G77&lt;=O$5,$H77&gt;=O$4),"■","")</f>
        <v/>
      </c>
      <c r="P77" s="11" t="str">
        <f aca="false">IF(AND($G77&lt;=P$5,$H77&gt;=P$4),"■","")</f>
        <v/>
      </c>
      <c r="Q77" s="11" t="str">
        <f aca="false">IF(AND($G77&lt;=Q$5,$H77&gt;=Q$4),"■","")</f>
        <v/>
      </c>
      <c r="R77" s="11" t="str">
        <f aca="false">IF(AND($G77&lt;=R$5,$H77&gt;=R$4),"■","")</f>
        <v/>
      </c>
      <c r="S77" s="11" t="str">
        <f aca="false">IF(AND($G77&lt;=S$5,$H77&gt;=S$4),"■","")</f>
        <v/>
      </c>
      <c r="T77" s="11" t="str">
        <f aca="false">IF(AND($G77&lt;=T$5,$H77&gt;=T$4),"■","")</f>
        <v/>
      </c>
      <c r="U77" s="11" t="str">
        <f aca="false">IF(AND($G77&lt;=U$5,$H77&gt;=U$4),"■","")</f>
        <v/>
      </c>
      <c r="V77" s="11" t="str">
        <f aca="false">IF(AND($G77&lt;=V$5,$H77&gt;=V$4),"■","")</f>
        <v/>
      </c>
      <c r="W77" s="11" t="str">
        <f aca="false">IF(AND($G77&lt;=W$5,$H77&gt;=W$4),"■","")</f>
        <v/>
      </c>
      <c r="X77" s="11" t="str">
        <f aca="false">IF(AND($G77&lt;=X$5,$H77&gt;=X$4),"■","")</f>
        <v/>
      </c>
      <c r="Y77" s="11" t="str">
        <f aca="false">IF(AND($G77&lt;=Y$5,$H77&gt;=Y$4),"■","")</f>
        <v/>
      </c>
      <c r="Z77" s="11" t="str">
        <f aca="false">IF(AND($G77&lt;=Z$5,$H77&gt;=Z$4),"■","")</f>
        <v>■</v>
      </c>
      <c r="AA77" s="11" t="str">
        <f aca="false">IF(AND($G77&lt;=AA$5,$H77&gt;=AA$4),"■","")</f>
        <v>■</v>
      </c>
    </row>
    <row r="78" customFormat="false" ht="15" hidden="false" customHeight="false" outlineLevel="0" collapsed="false">
      <c r="A78" s="4" t="s">
        <v>484</v>
      </c>
      <c r="B78" s="4" t="s">
        <v>474</v>
      </c>
      <c r="C78" s="4" t="s">
        <v>485</v>
      </c>
      <c r="D78" s="4" t="s">
        <v>486</v>
      </c>
      <c r="E78" s="4" t="s">
        <v>32</v>
      </c>
      <c r="F78" s="15" t="s">
        <v>218</v>
      </c>
      <c r="G78" s="10" t="n">
        <v>180</v>
      </c>
      <c r="H78" s="10" t="n">
        <v>180</v>
      </c>
      <c r="I78" s="16" t="n">
        <f aca="false">IF(OR(LEFT($B78,2)="P0",$H78&lt;=$G$3),$H78,IF(LEFT($B78,2)="P9",$H78-$E$3+$C$3,ROUND($H78*$C$3/$E$3,0)))</f>
        <v>180</v>
      </c>
      <c r="J78" s="4"/>
      <c r="K78" s="4" t="s">
        <v>473</v>
      </c>
      <c r="L78" s="4" t="s">
        <v>306</v>
      </c>
      <c r="M78" s="11" t="str">
        <f aca="false">IF(AND($G78&lt;=M$5,$H78&gt;=M$4),"■","")</f>
        <v/>
      </c>
      <c r="N78" s="11" t="str">
        <f aca="false">IF(AND($G78&lt;=N$5,$H78&gt;=N$4),"■","")</f>
        <v/>
      </c>
      <c r="O78" s="11" t="str">
        <f aca="false">IF(AND($G78&lt;=O$5,$H78&gt;=O$4),"■","")</f>
        <v/>
      </c>
      <c r="P78" s="11" t="str">
        <f aca="false">IF(AND($G78&lt;=P$5,$H78&gt;=P$4),"■","")</f>
        <v/>
      </c>
      <c r="Q78" s="11" t="str">
        <f aca="false">IF(AND($G78&lt;=Q$5,$H78&gt;=Q$4),"■","")</f>
        <v/>
      </c>
      <c r="R78" s="11" t="str">
        <f aca="false">IF(AND($G78&lt;=R$5,$H78&gt;=R$4),"■","")</f>
        <v/>
      </c>
      <c r="S78" s="11" t="str">
        <f aca="false">IF(AND($G78&lt;=S$5,$H78&gt;=S$4),"■","")</f>
        <v/>
      </c>
      <c r="T78" s="11" t="str">
        <f aca="false">IF(AND($G78&lt;=T$5,$H78&gt;=T$4),"■","")</f>
        <v/>
      </c>
      <c r="U78" s="11" t="str">
        <f aca="false">IF(AND($G78&lt;=U$5,$H78&gt;=U$4),"■","")</f>
        <v/>
      </c>
      <c r="V78" s="11" t="str">
        <f aca="false">IF(AND($G78&lt;=V$5,$H78&gt;=V$4),"■","")</f>
        <v/>
      </c>
      <c r="W78" s="11" t="str">
        <f aca="false">IF(AND($G78&lt;=W$5,$H78&gt;=W$4),"■","")</f>
        <v/>
      </c>
      <c r="X78" s="11" t="str">
        <f aca="false">IF(AND($G78&lt;=X$5,$H78&gt;=X$4),"■","")</f>
        <v/>
      </c>
      <c r="Y78" s="11" t="str">
        <f aca="false">IF(AND($G78&lt;=Y$5,$H78&gt;=Y$4),"■","")</f>
        <v/>
      </c>
      <c r="Z78" s="11" t="str">
        <f aca="false">IF(AND($G78&lt;=Z$5,$H78&gt;=Z$4),"■","")</f>
        <v/>
      </c>
      <c r="AA78" s="11" t="str">
        <f aca="false">IF(AND($G78&lt;=AA$5,$H78&gt;=AA$4),"■","")</f>
        <v>■</v>
      </c>
    </row>
    <row r="79" customFormat="false" ht="23.85" hidden="false" customHeight="false" outlineLevel="0" collapsed="false">
      <c r="A79" s="4" t="s">
        <v>487</v>
      </c>
      <c r="B79" s="4" t="s">
        <v>474</v>
      </c>
      <c r="C79" s="4" t="s">
        <v>488</v>
      </c>
      <c r="D79" s="4" t="s">
        <v>489</v>
      </c>
      <c r="E79" s="4" t="s">
        <v>32</v>
      </c>
      <c r="F79" s="15" t="s">
        <v>218</v>
      </c>
      <c r="G79" s="10" t="n">
        <v>240</v>
      </c>
      <c r="H79" s="10" t="n">
        <v>240</v>
      </c>
      <c r="I79" s="16" t="n">
        <f aca="false">IF(OR(LEFT($B79,2)="P0",$H79&lt;=$G$3),$H79,IF(LEFT($B79,2)="P9",$H79-$E$3+$C$3,ROUND($H79*$C$3/$E$3,0)))</f>
        <v>240</v>
      </c>
      <c r="J79" s="4"/>
      <c r="K79" s="4" t="s">
        <v>484</v>
      </c>
      <c r="L79" s="4" t="s">
        <v>464</v>
      </c>
      <c r="M79" s="11" t="str">
        <f aca="false">IF(AND($G79&lt;=M$5,$H79&gt;=M$4),"■","")</f>
        <v/>
      </c>
      <c r="N79" s="11" t="str">
        <f aca="false">IF(AND($G79&lt;=N$5,$H79&gt;=N$4),"■","")</f>
        <v/>
      </c>
      <c r="O79" s="11" t="str">
        <f aca="false">IF(AND($G79&lt;=O$5,$H79&gt;=O$4),"■","")</f>
        <v/>
      </c>
      <c r="P79" s="11" t="str">
        <f aca="false">IF(AND($G79&lt;=P$5,$H79&gt;=P$4),"■","")</f>
        <v/>
      </c>
      <c r="Q79" s="11" t="str">
        <f aca="false">IF(AND($G79&lt;=Q$5,$H79&gt;=Q$4),"■","")</f>
        <v/>
      </c>
      <c r="R79" s="11" t="str">
        <f aca="false">IF(AND($G79&lt;=R$5,$H79&gt;=R$4),"■","")</f>
        <v/>
      </c>
      <c r="S79" s="11" t="str">
        <f aca="false">IF(AND($G79&lt;=S$5,$H79&gt;=S$4),"■","")</f>
        <v/>
      </c>
      <c r="T79" s="11" t="str">
        <f aca="false">IF(AND($G79&lt;=T$5,$H79&gt;=T$4),"■","")</f>
        <v/>
      </c>
      <c r="U79" s="11" t="str">
        <f aca="false">IF(AND($G79&lt;=U$5,$H79&gt;=U$4),"■","")</f>
        <v/>
      </c>
      <c r="V79" s="11" t="str">
        <f aca="false">IF(AND($G79&lt;=V$5,$H79&gt;=V$4),"■","")</f>
        <v/>
      </c>
      <c r="W79" s="11" t="str">
        <f aca="false">IF(AND($G79&lt;=W$5,$H79&gt;=W$4),"■","")</f>
        <v/>
      </c>
      <c r="X79" s="11" t="str">
        <f aca="false">IF(AND($G79&lt;=X$5,$H79&gt;=X$4),"■","")</f>
        <v/>
      </c>
      <c r="Y79" s="11" t="str">
        <f aca="false">IF(AND($G79&lt;=Y$5,$H79&gt;=Y$4),"■","")</f>
        <v/>
      </c>
      <c r="Z79" s="11" t="str">
        <f aca="false">IF(AND($G79&lt;=Z$5,$H79&gt;=Z$4),"■","")</f>
        <v/>
      </c>
      <c r="AA79" s="11" t="str">
        <f aca="false">IF(AND($G79&lt;=AA$5,$H79&gt;=AA$4),"■","")</f>
        <v>■</v>
      </c>
    </row>
    <row r="80" customFormat="false" ht="15" hidden="false" customHeight="false" outlineLevel="0" collapsed="false">
      <c r="A80" s="4" t="s">
        <v>490</v>
      </c>
      <c r="B80" s="4" t="s">
        <v>474</v>
      </c>
      <c r="C80" s="4" t="s">
        <v>491</v>
      </c>
      <c r="D80" s="4" t="s">
        <v>492</v>
      </c>
      <c r="E80" s="4" t="s">
        <v>32</v>
      </c>
      <c r="F80" s="15" t="s">
        <v>218</v>
      </c>
      <c r="G80" s="10" t="n">
        <v>270</v>
      </c>
      <c r="H80" s="10" t="n">
        <v>270</v>
      </c>
      <c r="I80" s="16" t="n">
        <f aca="false">IF(OR(LEFT($B80,2)="P0",$H80&lt;=$G$3),$H80,IF(LEFT($B80,2)="P9",$H80-$E$3+$C$3,ROUND($H80*$C$3/$E$3,0)))</f>
        <v>270</v>
      </c>
      <c r="J80" s="4"/>
      <c r="K80" s="4" t="s">
        <v>487</v>
      </c>
      <c r="L80" s="4" t="s">
        <v>306</v>
      </c>
      <c r="M80" s="11" t="str">
        <f aca="false">IF(AND($G80&lt;=M$5,$H80&gt;=M$4),"■","")</f>
        <v/>
      </c>
      <c r="N80" s="11" t="str">
        <f aca="false">IF(AND($G80&lt;=N$5,$H80&gt;=N$4),"■","")</f>
        <v/>
      </c>
      <c r="O80" s="11" t="str">
        <f aca="false">IF(AND($G80&lt;=O$5,$H80&gt;=O$4),"■","")</f>
        <v/>
      </c>
      <c r="P80" s="11" t="str">
        <f aca="false">IF(AND($G80&lt;=P$5,$H80&gt;=P$4),"■","")</f>
        <v/>
      </c>
      <c r="Q80" s="11" t="str">
        <f aca="false">IF(AND($G80&lt;=Q$5,$H80&gt;=Q$4),"■","")</f>
        <v/>
      </c>
      <c r="R80" s="11" t="str">
        <f aca="false">IF(AND($G80&lt;=R$5,$H80&gt;=R$4),"■","")</f>
        <v/>
      </c>
      <c r="S80" s="11" t="str">
        <f aca="false">IF(AND($G80&lt;=S$5,$H80&gt;=S$4),"■","")</f>
        <v/>
      </c>
      <c r="T80" s="11" t="str">
        <f aca="false">IF(AND($G80&lt;=T$5,$H80&gt;=T$4),"■","")</f>
        <v/>
      </c>
      <c r="U80" s="11" t="str">
        <f aca="false">IF(AND($G80&lt;=U$5,$H80&gt;=U$4),"■","")</f>
        <v/>
      </c>
      <c r="V80" s="11" t="str">
        <f aca="false">IF(AND($G80&lt;=V$5,$H80&gt;=V$4),"■","")</f>
        <v/>
      </c>
      <c r="W80" s="11" t="str">
        <f aca="false">IF(AND($G80&lt;=W$5,$H80&gt;=W$4),"■","")</f>
        <v/>
      </c>
      <c r="X80" s="11" t="str">
        <f aca="false">IF(AND($G80&lt;=X$5,$H80&gt;=X$4),"■","")</f>
        <v/>
      </c>
      <c r="Y80" s="11" t="str">
        <f aca="false">IF(AND($G80&lt;=Y$5,$H80&gt;=Y$4),"■","")</f>
        <v/>
      </c>
      <c r="Z80" s="11" t="str">
        <f aca="false">IF(AND($G80&lt;=Z$5,$H80&gt;=Z$4),"■","")</f>
        <v/>
      </c>
      <c r="AA80" s="11" t="str">
        <f aca="false">IF(AND($G80&lt;=AA$5,$H80&gt;=AA$4),"■","")</f>
        <v>■</v>
      </c>
    </row>
    <row r="83" customFormat="false" ht="15" hidden="false" customHeight="false" outlineLevel="0" collapsed="false">
      <c r="C83" s="5" t="s">
        <v>493</v>
      </c>
    </row>
    <row r="84" customFormat="false" ht="30" hidden="false" customHeight="true" outlineLevel="0" collapsed="false">
      <c r="C84" s="3" t="s">
        <v>194</v>
      </c>
      <c r="D84" s="3" t="s">
        <v>494</v>
      </c>
      <c r="E84" s="3" t="s">
        <v>195</v>
      </c>
    </row>
    <row r="85" customFormat="false" ht="15" hidden="false" customHeight="false" outlineLevel="0" collapsed="false">
      <c r="C85" s="4" t="s">
        <v>30</v>
      </c>
      <c r="D85" s="4" t="n">
        <f aca="false">COUNTIF($E$7:$E$80,C85)</f>
        <v>9</v>
      </c>
      <c r="E85" s="4" t="n">
        <f aca="false">COUNTIFS($E$7:$E$80,C85,$F$7:$F$80,"Yes")</f>
        <v>1</v>
      </c>
    </row>
    <row r="86" customFormat="false" ht="15" hidden="false" customHeight="false" outlineLevel="0" collapsed="false">
      <c r="C86" s="4" t="s">
        <v>32</v>
      </c>
      <c r="D86" s="4" t="n">
        <f aca="false">COUNTIF($E$7:$E$80,C86)</f>
        <v>53</v>
      </c>
      <c r="E86" s="4" t="n">
        <f aca="false">COUNTIFS($E$7:$E$80,C86,$F$7:$F$80,"Yes")</f>
        <v>30</v>
      </c>
    </row>
    <row r="87" customFormat="false" ht="15" hidden="false" customHeight="false" outlineLevel="0" collapsed="false">
      <c r="C87" s="4" t="s">
        <v>34</v>
      </c>
      <c r="D87" s="4" t="n">
        <f aca="false">COUNTIF($E$7:$E$80,C87)</f>
        <v>4</v>
      </c>
      <c r="E87" s="4" t="n">
        <f aca="false">COUNTIFS($E$7:$E$80,C87,$F$7:$F$80,"Yes")</f>
        <v>3</v>
      </c>
    </row>
    <row r="88" customFormat="false" ht="15" hidden="false" customHeight="false" outlineLevel="0" collapsed="false">
      <c r="C88" s="4" t="s">
        <v>36</v>
      </c>
      <c r="D88" s="4" t="n">
        <f aca="false">COUNTIF($E$7:$E$80,C88)</f>
        <v>8</v>
      </c>
      <c r="E88" s="4" t="n">
        <f aca="false">COUNTIFS($E$7:$E$80,C88,$F$7:$F$80,"Yes")</f>
        <v>8</v>
      </c>
    </row>
    <row r="89" customFormat="false" ht="15" hidden="false" customHeight="false" outlineLevel="0" collapsed="false">
      <c r="C89" s="17" t="s">
        <v>495</v>
      </c>
      <c r="D89" s="17" t="n">
        <f aca="false">SUM(D85:D88)</f>
        <v>74</v>
      </c>
      <c r="E89" s="17" t="n">
        <f aca="false">SUM(E85:E88)</f>
        <v>42</v>
      </c>
    </row>
  </sheetData>
  <autoFilter ref="A6:L80"/>
  <conditionalFormatting sqref="F7:F80">
    <cfRule type="cellIs" priority="2" operator="equal" aboveAverage="0" equalAverage="0" bottom="0" percent="0" rank="0" text="" dxfId="7">
      <formula>"Yes"</formula>
    </cfRule>
  </conditionalFormatting>
  <conditionalFormatting sqref="M7:AA80">
    <cfRule type="cellIs" priority="3" operator="equal" aboveAverage="0" equalAverage="0" bottom="0" percent="0" rank="0" text="" dxfId="0">
      <formula>"■"</formula>
    </cfRule>
  </conditionalFormatting>
  <dataValidations count="2">
    <dataValidation allowBlank="false" errorStyle="stop" operator="between" showDropDown="false" showErrorMessage="false" showInputMessage="false" sqref="C3" type="whole">
      <formula1>60</formula1>
      <formula2>90</formula2>
    </dataValidation>
    <dataValidation allowBlank="true" errorStyle="stop" operator="between" showDropDown="false" showErrorMessage="false" showInputMessage="false" sqref="E7:E80" type="list">
      <formula1>"Phil,Architect,Ops,Client POC"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8"/>
    <col collapsed="false" customWidth="true" hidden="false" outlineLevel="0" max="3" min="3" style="0" width="30"/>
    <col collapsed="false" customWidth="true" hidden="false" outlineLevel="0" max="4" min="4" style="0" width="50"/>
    <col collapsed="false" customWidth="true" hidden="false" outlineLevel="0" max="5" min="5" style="0" width="36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10</v>
      </c>
    </row>
    <row r="2" customFormat="false" ht="15" hidden="false" customHeight="false" outlineLevel="0" collapsed="false">
      <c r="A2" s="2" t="s">
        <v>496</v>
      </c>
    </row>
    <row r="4" customFormat="false" ht="30" hidden="false" customHeight="true" outlineLevel="0" collapsed="false">
      <c r="A4" s="3" t="s">
        <v>190</v>
      </c>
      <c r="B4" s="3" t="s">
        <v>497</v>
      </c>
      <c r="C4" s="3" t="s">
        <v>498</v>
      </c>
      <c r="D4" s="3" t="s">
        <v>499</v>
      </c>
      <c r="E4" s="3" t="s">
        <v>500</v>
      </c>
      <c r="F4" s="3" t="s">
        <v>501</v>
      </c>
    </row>
    <row r="5" customFormat="false" ht="23.85" hidden="false" customHeight="false" outlineLevel="0" collapsed="false">
      <c r="A5" s="4" t="s">
        <v>502</v>
      </c>
      <c r="B5" s="4" t="s">
        <v>503</v>
      </c>
      <c r="C5" s="4" t="s">
        <v>504</v>
      </c>
      <c r="D5" s="4" t="s">
        <v>505</v>
      </c>
      <c r="E5" s="4" t="s">
        <v>506</v>
      </c>
      <c r="F5" s="4" t="s">
        <v>507</v>
      </c>
    </row>
    <row r="6" customFormat="false" ht="23.85" hidden="false" customHeight="false" outlineLevel="0" collapsed="false">
      <c r="A6" s="4" t="s">
        <v>508</v>
      </c>
      <c r="B6" s="4" t="s">
        <v>509</v>
      </c>
      <c r="C6" s="4" t="s">
        <v>504</v>
      </c>
      <c r="D6" s="4" t="s">
        <v>510</v>
      </c>
      <c r="E6" s="4" t="s">
        <v>511</v>
      </c>
      <c r="F6" s="4" t="s">
        <v>512</v>
      </c>
    </row>
    <row r="7" customFormat="false" ht="15" hidden="false" customHeight="false" outlineLevel="0" collapsed="false">
      <c r="A7" s="4" t="s">
        <v>513</v>
      </c>
      <c r="B7" s="4" t="s">
        <v>514</v>
      </c>
      <c r="C7" s="4" t="s">
        <v>504</v>
      </c>
      <c r="D7" s="4" t="s">
        <v>515</v>
      </c>
      <c r="E7" s="4" t="s">
        <v>516</v>
      </c>
      <c r="F7" s="4" t="s">
        <v>362</v>
      </c>
    </row>
    <row r="8" customFormat="false" ht="15" hidden="false" customHeight="false" outlineLevel="0" collapsed="false">
      <c r="A8" s="4" t="s">
        <v>517</v>
      </c>
      <c r="B8" s="4" t="s">
        <v>518</v>
      </c>
      <c r="C8" s="4" t="s">
        <v>504</v>
      </c>
      <c r="D8" s="4" t="s">
        <v>519</v>
      </c>
      <c r="E8" s="4" t="s">
        <v>520</v>
      </c>
      <c r="F8" s="4" t="s">
        <v>367</v>
      </c>
    </row>
    <row r="9" customFormat="false" ht="15" hidden="false" customHeight="false" outlineLevel="0" collapsed="false">
      <c r="A9" s="4" t="s">
        <v>521</v>
      </c>
      <c r="B9" s="4" t="s">
        <v>522</v>
      </c>
      <c r="C9" s="4" t="s">
        <v>523</v>
      </c>
      <c r="D9" s="4" t="s">
        <v>524</v>
      </c>
      <c r="E9" s="4" t="s">
        <v>525</v>
      </c>
      <c r="F9" s="4" t="s">
        <v>375</v>
      </c>
    </row>
    <row r="10" customFormat="false" ht="23.85" hidden="false" customHeight="false" outlineLevel="0" collapsed="false">
      <c r="A10" s="4" t="s">
        <v>526</v>
      </c>
      <c r="B10" s="4" t="s">
        <v>527</v>
      </c>
      <c r="C10" s="4" t="s">
        <v>528</v>
      </c>
      <c r="D10" s="4" t="s">
        <v>529</v>
      </c>
      <c r="E10" s="4" t="s">
        <v>530</v>
      </c>
      <c r="F10" s="4" t="s">
        <v>371</v>
      </c>
    </row>
  </sheetData>
  <autoFilter ref="A4:F10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48"/>
    <col collapsed="false" customWidth="true" hidden="false" outlineLevel="0" max="4" min="4" style="0" width="40"/>
  </cols>
  <sheetData>
    <row r="1" customFormat="false" ht="17.35" hidden="false" customHeight="false" outlineLevel="0" collapsed="false">
      <c r="A1" s="1" t="s">
        <v>12</v>
      </c>
    </row>
    <row r="2" customFormat="false" ht="15" hidden="false" customHeight="false" outlineLevel="0" collapsed="false">
      <c r="A2" s="2" t="s">
        <v>531</v>
      </c>
    </row>
    <row r="4" customFormat="false" ht="15" hidden="false" customHeight="false" outlineLevel="0" collapsed="false">
      <c r="A4" s="5" t="s">
        <v>532</v>
      </c>
    </row>
    <row r="5" customFormat="false" ht="15" hidden="false" customHeight="false" outlineLevel="0" collapsed="false">
      <c r="A5" s="7" t="s">
        <v>533</v>
      </c>
    </row>
    <row r="6" customFormat="false" ht="15" hidden="false" customHeight="false" outlineLevel="0" collapsed="false">
      <c r="A6" s="7" t="s">
        <v>534</v>
      </c>
    </row>
    <row r="7" customFormat="false" ht="15" hidden="false" customHeight="false" outlineLevel="0" collapsed="false">
      <c r="A7" s="7" t="s">
        <v>535</v>
      </c>
    </row>
    <row r="9" customFormat="false" ht="30" hidden="false" customHeight="true" outlineLevel="0" collapsed="false">
      <c r="A9" s="3" t="s">
        <v>536</v>
      </c>
      <c r="B9" s="3" t="s">
        <v>537</v>
      </c>
      <c r="C9" s="3" t="s">
        <v>538</v>
      </c>
      <c r="D9" s="3" t="s">
        <v>539</v>
      </c>
    </row>
    <row r="10" customFormat="false" ht="23.85" hidden="false" customHeight="false" outlineLevel="0" collapsed="false">
      <c r="A10" s="4" t="s">
        <v>540</v>
      </c>
      <c r="B10" s="4" t="s">
        <v>541</v>
      </c>
      <c r="C10" s="4" t="s">
        <v>542</v>
      </c>
      <c r="D10" s="4" t="s">
        <v>543</v>
      </c>
    </row>
    <row r="11" customFormat="false" ht="15" hidden="false" customHeight="false" outlineLevel="0" collapsed="false">
      <c r="A11" s="4" t="s">
        <v>544</v>
      </c>
      <c r="B11" s="4" t="s">
        <v>545</v>
      </c>
      <c r="C11" s="4" t="s">
        <v>546</v>
      </c>
      <c r="D11" s="4" t="s">
        <v>547</v>
      </c>
    </row>
    <row r="12" customFormat="false" ht="15" hidden="false" customHeight="false" outlineLevel="0" collapsed="false">
      <c r="A12" s="4" t="s">
        <v>548</v>
      </c>
      <c r="B12" s="4" t="s">
        <v>549</v>
      </c>
      <c r="C12" s="4" t="s">
        <v>550</v>
      </c>
      <c r="D12" s="4" t="s">
        <v>547</v>
      </c>
    </row>
    <row r="13" customFormat="false" ht="15" hidden="false" customHeight="false" outlineLevel="0" collapsed="false">
      <c r="A13" s="4" t="s">
        <v>551</v>
      </c>
      <c r="B13" s="4" t="s">
        <v>552</v>
      </c>
      <c r="C13" s="4" t="s">
        <v>553</v>
      </c>
      <c r="D13" s="4" t="s">
        <v>554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C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44"/>
    <col collapsed="false" customWidth="true" hidden="false" outlineLevel="0" max="3" min="3" style="0" width="90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555</v>
      </c>
    </row>
    <row r="4" customFormat="false" ht="30" hidden="false" customHeight="true" outlineLevel="0" collapsed="false">
      <c r="A4" s="3" t="s">
        <v>556</v>
      </c>
      <c r="B4" s="3" t="s">
        <v>539</v>
      </c>
      <c r="C4" s="3" t="s">
        <v>557</v>
      </c>
    </row>
    <row r="5" customFormat="false" ht="23.85" hidden="false" customHeight="false" outlineLevel="0" collapsed="false">
      <c r="A5" s="4" t="s">
        <v>558</v>
      </c>
      <c r="B5" s="4" t="s">
        <v>559</v>
      </c>
      <c r="C5" s="4" t="s">
        <v>560</v>
      </c>
    </row>
    <row r="6" customFormat="false" ht="23.85" hidden="false" customHeight="false" outlineLevel="0" collapsed="false">
      <c r="A6" s="4" t="s">
        <v>561</v>
      </c>
      <c r="B6" s="18" t="s">
        <v>562</v>
      </c>
      <c r="C6" s="4" t="s">
        <v>563</v>
      </c>
    </row>
    <row r="7" customFormat="false" ht="23.85" hidden="false" customHeight="false" outlineLevel="0" collapsed="false">
      <c r="A7" s="4" t="s">
        <v>564</v>
      </c>
      <c r="B7" s="18" t="s">
        <v>565</v>
      </c>
      <c r="C7" s="4" t="s">
        <v>566</v>
      </c>
    </row>
    <row r="8" customFormat="false" ht="23.85" hidden="false" customHeight="false" outlineLevel="0" collapsed="false">
      <c r="A8" s="4" t="s">
        <v>567</v>
      </c>
      <c r="B8" s="18" t="s">
        <v>565</v>
      </c>
      <c r="C8" s="4" t="s">
        <v>568</v>
      </c>
    </row>
  </sheetData>
  <autoFilter ref="A4:C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G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0"/>
    <col collapsed="false" customWidth="true" hidden="false" outlineLevel="0" max="3" min="3" style="0" width="34"/>
    <col collapsed="false" customWidth="true" hidden="false" outlineLevel="0" max="4" min="4" style="0" width="9"/>
    <col collapsed="false" customWidth="true" hidden="false" outlineLevel="0" max="5" min="5" style="0" width="14"/>
    <col collapsed="false" customWidth="true" hidden="false" outlineLevel="0" max="6" min="6" style="0" width="36"/>
    <col collapsed="false" customWidth="true" hidden="false" outlineLevel="0" max="7" min="7" style="0" width="24"/>
  </cols>
  <sheetData>
    <row r="1" customFormat="false" ht="17.35" hidden="false" customHeight="false" outlineLevel="0" collapsed="false">
      <c r="A1" s="1" t="s">
        <v>16</v>
      </c>
    </row>
    <row r="2" customFormat="false" ht="15" hidden="false" customHeight="false" outlineLevel="0" collapsed="false">
      <c r="A2" s="2" t="s">
        <v>569</v>
      </c>
    </row>
    <row r="4" customFormat="false" ht="30" hidden="false" customHeight="true" outlineLevel="0" collapsed="false">
      <c r="A4" s="3" t="s">
        <v>191</v>
      </c>
      <c r="B4" s="3" t="s">
        <v>570</v>
      </c>
      <c r="C4" s="3" t="s">
        <v>571</v>
      </c>
      <c r="D4" s="3" t="s">
        <v>572</v>
      </c>
      <c r="E4" s="3" t="s">
        <v>573</v>
      </c>
      <c r="F4" s="3" t="s">
        <v>574</v>
      </c>
      <c r="G4" s="3" t="s">
        <v>575</v>
      </c>
    </row>
    <row r="5" customFormat="false" ht="15" hidden="false" customHeight="false" outlineLevel="0" collapsed="false">
      <c r="A5" s="4" t="s">
        <v>576</v>
      </c>
      <c r="B5" s="4" t="s">
        <v>577</v>
      </c>
      <c r="C5" s="4" t="s">
        <v>578</v>
      </c>
      <c r="D5" s="4" t="s">
        <v>218</v>
      </c>
      <c r="E5" s="4" t="s">
        <v>579</v>
      </c>
      <c r="F5" s="4" t="s">
        <v>580</v>
      </c>
      <c r="G5" s="4" t="s">
        <v>581</v>
      </c>
    </row>
    <row r="6" customFormat="false" ht="15" hidden="false" customHeight="false" outlineLevel="0" collapsed="false">
      <c r="A6" s="4" t="s">
        <v>576</v>
      </c>
      <c r="B6" s="4" t="s">
        <v>582</v>
      </c>
      <c r="C6" s="4" t="s">
        <v>583</v>
      </c>
      <c r="D6" s="4" t="s">
        <v>218</v>
      </c>
      <c r="E6" s="4" t="s">
        <v>584</v>
      </c>
      <c r="F6" s="4" t="s">
        <v>585</v>
      </c>
      <c r="G6" s="4" t="s">
        <v>586</v>
      </c>
    </row>
    <row r="7" customFormat="false" ht="23.85" hidden="false" customHeight="false" outlineLevel="0" collapsed="false">
      <c r="A7" s="4" t="s">
        <v>576</v>
      </c>
      <c r="B7" s="4" t="s">
        <v>587</v>
      </c>
      <c r="C7" s="4" t="s">
        <v>578</v>
      </c>
      <c r="D7" s="4" t="s">
        <v>218</v>
      </c>
      <c r="E7" s="4" t="s">
        <v>205</v>
      </c>
      <c r="F7" s="4" t="s">
        <v>588</v>
      </c>
      <c r="G7" s="4" t="s">
        <v>589</v>
      </c>
    </row>
    <row r="8" customFormat="false" ht="23.85" hidden="false" customHeight="false" outlineLevel="0" collapsed="false">
      <c r="A8" s="4" t="s">
        <v>576</v>
      </c>
      <c r="B8" s="4" t="s">
        <v>590</v>
      </c>
      <c r="C8" s="4" t="s">
        <v>591</v>
      </c>
      <c r="D8" s="4" t="s">
        <v>218</v>
      </c>
      <c r="E8" s="4" t="s">
        <v>205</v>
      </c>
      <c r="F8" s="4" t="s">
        <v>592</v>
      </c>
      <c r="G8" s="4" t="s">
        <v>589</v>
      </c>
    </row>
    <row r="9" customFormat="false" ht="15" hidden="false" customHeight="false" outlineLevel="0" collapsed="false">
      <c r="A9" s="4" t="s">
        <v>576</v>
      </c>
      <c r="B9" s="4" t="s">
        <v>593</v>
      </c>
      <c r="C9" s="4" t="s">
        <v>578</v>
      </c>
      <c r="D9" s="4" t="s">
        <v>205</v>
      </c>
      <c r="E9" s="4" t="s">
        <v>205</v>
      </c>
      <c r="F9" s="4" t="s">
        <v>594</v>
      </c>
      <c r="G9" s="4" t="s">
        <v>589</v>
      </c>
    </row>
    <row r="10" customFormat="false" ht="23.85" hidden="false" customHeight="false" outlineLevel="0" collapsed="false">
      <c r="A10" s="4" t="s">
        <v>595</v>
      </c>
      <c r="B10" s="4" t="s">
        <v>596</v>
      </c>
      <c r="C10" s="4" t="s">
        <v>583</v>
      </c>
      <c r="D10" s="4" t="s">
        <v>218</v>
      </c>
      <c r="E10" s="4" t="s">
        <v>579</v>
      </c>
      <c r="F10" s="4" t="s">
        <v>597</v>
      </c>
      <c r="G10" s="4" t="s">
        <v>589</v>
      </c>
    </row>
    <row r="11" customFormat="false" ht="15" hidden="false" customHeight="false" outlineLevel="0" collapsed="false">
      <c r="A11" s="4" t="s">
        <v>595</v>
      </c>
      <c r="B11" s="4" t="s">
        <v>598</v>
      </c>
      <c r="C11" s="4" t="s">
        <v>583</v>
      </c>
      <c r="D11" s="4" t="s">
        <v>218</v>
      </c>
      <c r="E11" s="4" t="s">
        <v>584</v>
      </c>
      <c r="F11" s="4" t="s">
        <v>599</v>
      </c>
      <c r="G11" s="4" t="s">
        <v>589</v>
      </c>
    </row>
    <row r="12" customFormat="false" ht="15" hidden="false" customHeight="false" outlineLevel="0" collapsed="false">
      <c r="A12" s="4" t="s">
        <v>595</v>
      </c>
      <c r="B12" s="4" t="s">
        <v>600</v>
      </c>
      <c r="C12" s="4" t="s">
        <v>583</v>
      </c>
      <c r="D12" s="4" t="s">
        <v>218</v>
      </c>
      <c r="E12" s="4" t="s">
        <v>584</v>
      </c>
      <c r="F12" s="4" t="s">
        <v>601</v>
      </c>
      <c r="G12" s="4" t="s">
        <v>589</v>
      </c>
    </row>
    <row r="13" customFormat="false" ht="23.85" hidden="false" customHeight="false" outlineLevel="0" collapsed="false">
      <c r="A13" s="4" t="s">
        <v>595</v>
      </c>
      <c r="B13" s="4" t="s">
        <v>602</v>
      </c>
      <c r="C13" s="4" t="s">
        <v>603</v>
      </c>
      <c r="D13" s="4" t="s">
        <v>205</v>
      </c>
      <c r="E13" s="4" t="s">
        <v>584</v>
      </c>
      <c r="F13" s="4" t="s">
        <v>604</v>
      </c>
      <c r="G13" s="4" t="s">
        <v>605</v>
      </c>
    </row>
    <row r="14" customFormat="false" ht="15" hidden="false" customHeight="false" outlineLevel="0" collapsed="false">
      <c r="A14" s="4" t="s">
        <v>606</v>
      </c>
      <c r="B14" s="4" t="s">
        <v>607</v>
      </c>
      <c r="C14" s="4" t="s">
        <v>583</v>
      </c>
      <c r="D14" s="4" t="s">
        <v>218</v>
      </c>
      <c r="E14" s="4" t="s">
        <v>205</v>
      </c>
      <c r="F14" s="4" t="s">
        <v>608</v>
      </c>
      <c r="G14" s="4" t="s">
        <v>589</v>
      </c>
    </row>
    <row r="15" customFormat="false" ht="15" hidden="false" customHeight="false" outlineLevel="0" collapsed="false">
      <c r="A15" s="4" t="s">
        <v>606</v>
      </c>
      <c r="B15" s="4" t="s">
        <v>609</v>
      </c>
      <c r="C15" s="4" t="s">
        <v>583</v>
      </c>
      <c r="D15" s="4" t="s">
        <v>218</v>
      </c>
      <c r="E15" s="4" t="s">
        <v>205</v>
      </c>
      <c r="F15" s="4" t="s">
        <v>610</v>
      </c>
      <c r="G15" s="4" t="s">
        <v>589</v>
      </c>
    </row>
    <row r="16" customFormat="false" ht="35.05" hidden="false" customHeight="false" outlineLevel="0" collapsed="false">
      <c r="A16" s="4" t="s">
        <v>611</v>
      </c>
      <c r="B16" s="4" t="s">
        <v>612</v>
      </c>
      <c r="C16" s="4" t="s">
        <v>613</v>
      </c>
      <c r="D16" s="4" t="s">
        <v>218</v>
      </c>
      <c r="E16" s="4" t="s">
        <v>584</v>
      </c>
      <c r="F16" s="4" t="s">
        <v>614</v>
      </c>
      <c r="G16" s="4" t="s">
        <v>589</v>
      </c>
    </row>
    <row r="17" customFormat="false" ht="15" hidden="false" customHeight="false" outlineLevel="0" collapsed="false">
      <c r="A17" s="4" t="s">
        <v>611</v>
      </c>
      <c r="B17" s="4" t="s">
        <v>615</v>
      </c>
      <c r="C17" s="4" t="s">
        <v>583</v>
      </c>
      <c r="D17" s="4" t="s">
        <v>205</v>
      </c>
      <c r="E17" s="4" t="s">
        <v>205</v>
      </c>
      <c r="F17" s="4" t="s">
        <v>616</v>
      </c>
      <c r="G17" s="4" t="s">
        <v>589</v>
      </c>
    </row>
    <row r="18" customFormat="false" ht="15" hidden="false" customHeight="false" outlineLevel="0" collapsed="false">
      <c r="A18" s="4" t="s">
        <v>611</v>
      </c>
      <c r="B18" s="4" t="s">
        <v>617</v>
      </c>
      <c r="C18" s="4" t="s">
        <v>578</v>
      </c>
      <c r="D18" s="4" t="s">
        <v>218</v>
      </c>
      <c r="E18" s="4" t="s">
        <v>584</v>
      </c>
      <c r="F18" s="4" t="s">
        <v>618</v>
      </c>
      <c r="G18" s="4" t="s">
        <v>589</v>
      </c>
    </row>
    <row r="19" customFormat="false" ht="15" hidden="false" customHeight="false" outlineLevel="0" collapsed="false">
      <c r="A19" s="4" t="s">
        <v>611</v>
      </c>
      <c r="B19" s="4" t="s">
        <v>619</v>
      </c>
      <c r="C19" s="4" t="s">
        <v>578</v>
      </c>
      <c r="D19" s="4" t="s">
        <v>205</v>
      </c>
      <c r="E19" s="4" t="s">
        <v>205</v>
      </c>
      <c r="F19" s="4" t="s">
        <v>620</v>
      </c>
      <c r="G19" s="4" t="s">
        <v>589</v>
      </c>
    </row>
    <row r="20" customFormat="false" ht="23.85" hidden="false" customHeight="false" outlineLevel="0" collapsed="false">
      <c r="A20" s="4" t="s">
        <v>621</v>
      </c>
      <c r="B20" s="4" t="s">
        <v>622</v>
      </c>
      <c r="C20" s="4" t="s">
        <v>578</v>
      </c>
      <c r="D20" s="4" t="s">
        <v>218</v>
      </c>
      <c r="E20" s="4" t="s">
        <v>205</v>
      </c>
      <c r="F20" s="4" t="s">
        <v>623</v>
      </c>
      <c r="G20" s="4" t="s">
        <v>589</v>
      </c>
    </row>
    <row r="21" customFormat="false" ht="15" hidden="false" customHeight="false" outlineLevel="0" collapsed="false">
      <c r="A21" s="4" t="s">
        <v>624</v>
      </c>
      <c r="B21" s="4" t="s">
        <v>625</v>
      </c>
      <c r="C21" s="4" t="s">
        <v>626</v>
      </c>
      <c r="D21" s="4" t="s">
        <v>218</v>
      </c>
      <c r="E21" s="4" t="s">
        <v>579</v>
      </c>
      <c r="F21" s="4" t="s">
        <v>627</v>
      </c>
      <c r="G21" s="4" t="s">
        <v>589</v>
      </c>
    </row>
    <row r="22" customFormat="false" ht="15" hidden="false" customHeight="false" outlineLevel="0" collapsed="false">
      <c r="A22" s="4" t="s">
        <v>624</v>
      </c>
      <c r="B22" s="4" t="s">
        <v>628</v>
      </c>
      <c r="C22" s="4" t="s">
        <v>629</v>
      </c>
      <c r="D22" s="4" t="s">
        <v>218</v>
      </c>
      <c r="E22" s="4" t="s">
        <v>584</v>
      </c>
      <c r="F22" s="4" t="s">
        <v>630</v>
      </c>
      <c r="G22" s="4" t="s">
        <v>589</v>
      </c>
    </row>
    <row r="23" customFormat="false" ht="15" hidden="false" customHeight="false" outlineLevel="0" collapsed="false">
      <c r="A23" s="4" t="s">
        <v>624</v>
      </c>
      <c r="B23" s="4" t="s">
        <v>631</v>
      </c>
      <c r="C23" s="4" t="s">
        <v>578</v>
      </c>
      <c r="D23" s="4" t="s">
        <v>218</v>
      </c>
      <c r="E23" s="4" t="s">
        <v>205</v>
      </c>
      <c r="F23" s="4" t="s">
        <v>632</v>
      </c>
      <c r="G23" s="4" t="s">
        <v>589</v>
      </c>
    </row>
    <row r="24" customFormat="false" ht="23.85" hidden="false" customHeight="false" outlineLevel="0" collapsed="false">
      <c r="A24" s="4" t="s">
        <v>96</v>
      </c>
      <c r="B24" s="4" t="s">
        <v>633</v>
      </c>
      <c r="C24" s="4" t="s">
        <v>634</v>
      </c>
      <c r="D24" s="4" t="s">
        <v>218</v>
      </c>
      <c r="E24" s="4" t="s">
        <v>584</v>
      </c>
      <c r="F24" s="4" t="s">
        <v>635</v>
      </c>
      <c r="G24" s="4" t="s">
        <v>589</v>
      </c>
    </row>
    <row r="25" customFormat="false" ht="15" hidden="false" customHeight="false" outlineLevel="0" collapsed="false">
      <c r="A25" s="4" t="s">
        <v>96</v>
      </c>
      <c r="B25" s="4" t="s">
        <v>636</v>
      </c>
      <c r="C25" s="4" t="s">
        <v>637</v>
      </c>
      <c r="D25" s="4" t="s">
        <v>218</v>
      </c>
      <c r="E25" s="4" t="s">
        <v>205</v>
      </c>
      <c r="F25" s="4" t="s">
        <v>638</v>
      </c>
      <c r="G25" s="4" t="s">
        <v>589</v>
      </c>
    </row>
    <row r="26" customFormat="false" ht="15" hidden="false" customHeight="false" outlineLevel="0" collapsed="false">
      <c r="A26" s="4" t="s">
        <v>98</v>
      </c>
      <c r="B26" s="4" t="s">
        <v>639</v>
      </c>
      <c r="C26" s="4" t="s">
        <v>583</v>
      </c>
      <c r="D26" s="4" t="s">
        <v>205</v>
      </c>
      <c r="E26" s="4" t="s">
        <v>205</v>
      </c>
      <c r="F26" s="4" t="s">
        <v>640</v>
      </c>
      <c r="G26" s="4" t="s">
        <v>589</v>
      </c>
    </row>
    <row r="27" customFormat="false" ht="15" hidden="false" customHeight="false" outlineLevel="0" collapsed="false">
      <c r="A27" s="4" t="s">
        <v>624</v>
      </c>
      <c r="B27" s="4" t="s">
        <v>641</v>
      </c>
      <c r="C27" s="4" t="s">
        <v>583</v>
      </c>
      <c r="D27" s="4" t="s">
        <v>218</v>
      </c>
      <c r="E27" s="4" t="s">
        <v>584</v>
      </c>
      <c r="F27" s="4" t="s">
        <v>642</v>
      </c>
      <c r="G27" s="4" t="s">
        <v>589</v>
      </c>
    </row>
    <row r="28" customFormat="false" ht="23.85" hidden="false" customHeight="false" outlineLevel="0" collapsed="false">
      <c r="A28" s="4" t="s">
        <v>643</v>
      </c>
      <c r="B28" s="4" t="s">
        <v>644</v>
      </c>
      <c r="C28" s="4" t="s">
        <v>645</v>
      </c>
      <c r="D28" s="4" t="s">
        <v>218</v>
      </c>
      <c r="E28" s="4" t="s">
        <v>205</v>
      </c>
      <c r="F28" s="4" t="s">
        <v>646</v>
      </c>
      <c r="G28" s="4" t="s">
        <v>589</v>
      </c>
    </row>
    <row r="29" customFormat="false" ht="15" hidden="false" customHeight="false" outlineLevel="0" collapsed="false">
      <c r="A29" s="4" t="s">
        <v>643</v>
      </c>
      <c r="B29" s="4" t="s">
        <v>647</v>
      </c>
      <c r="C29" s="4" t="s">
        <v>578</v>
      </c>
      <c r="D29" s="4" t="s">
        <v>205</v>
      </c>
      <c r="E29" s="4" t="s">
        <v>205</v>
      </c>
      <c r="F29" s="4" t="s">
        <v>648</v>
      </c>
      <c r="G29" s="4" t="s">
        <v>589</v>
      </c>
    </row>
    <row r="30" customFormat="false" ht="15" hidden="false" customHeight="false" outlineLevel="0" collapsed="false">
      <c r="A30" s="4" t="s">
        <v>649</v>
      </c>
      <c r="B30" s="4" t="s">
        <v>650</v>
      </c>
      <c r="C30" s="4" t="s">
        <v>651</v>
      </c>
      <c r="D30" s="4" t="s">
        <v>218</v>
      </c>
      <c r="E30" s="4" t="s">
        <v>205</v>
      </c>
      <c r="F30" s="4" t="s">
        <v>652</v>
      </c>
      <c r="G30" s="4" t="s">
        <v>287</v>
      </c>
    </row>
    <row r="31" customFormat="false" ht="23.85" hidden="false" customHeight="false" outlineLevel="0" collapsed="false">
      <c r="A31" s="4" t="s">
        <v>653</v>
      </c>
      <c r="B31" s="4" t="s">
        <v>654</v>
      </c>
      <c r="C31" s="4" t="s">
        <v>655</v>
      </c>
      <c r="D31" s="4" t="s">
        <v>218</v>
      </c>
      <c r="E31" s="4" t="s">
        <v>584</v>
      </c>
      <c r="F31" s="4" t="s">
        <v>656</v>
      </c>
      <c r="G31" s="4" t="s">
        <v>276</v>
      </c>
    </row>
  </sheetData>
  <autoFilter ref="A4:G3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F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6"/>
    <col collapsed="false" customWidth="true" hidden="false" outlineLevel="0" max="3" min="3" style="0" width="60"/>
    <col collapsed="false" customWidth="true" hidden="false" outlineLevel="0" max="4" min="4" style="0" width="10"/>
    <col collapsed="false" customWidth="true" hidden="false" outlineLevel="0" max="5" min="5" style="0" width="8"/>
    <col collapsed="false" customWidth="true" hidden="false" outlineLevel="0" max="6" min="6" style="0" width="22"/>
  </cols>
  <sheetData>
    <row r="1" customFormat="false" ht="17.3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657</v>
      </c>
    </row>
    <row r="4" customFormat="false" ht="30" hidden="false" customHeight="true" outlineLevel="0" collapsed="false">
      <c r="A4" s="3" t="s">
        <v>94</v>
      </c>
      <c r="B4" s="3" t="s">
        <v>658</v>
      </c>
      <c r="C4" s="3" t="s">
        <v>659</v>
      </c>
      <c r="D4" s="3" t="s">
        <v>660</v>
      </c>
      <c r="E4" s="3" t="s">
        <v>661</v>
      </c>
      <c r="F4" s="3" t="s">
        <v>194</v>
      </c>
    </row>
    <row r="5" customFormat="false" ht="15" hidden="false" customHeight="false" outlineLevel="0" collapsed="false">
      <c r="A5" s="4" t="s">
        <v>662</v>
      </c>
      <c r="B5" s="4" t="s">
        <v>663</v>
      </c>
      <c r="C5" s="4" t="s">
        <v>664</v>
      </c>
      <c r="D5" s="4" t="s">
        <v>665</v>
      </c>
      <c r="E5" s="4" t="s">
        <v>315</v>
      </c>
      <c r="F5" s="4" t="s">
        <v>32</v>
      </c>
    </row>
    <row r="6" customFormat="false" ht="15" hidden="false" customHeight="false" outlineLevel="0" collapsed="false">
      <c r="A6" s="4" t="s">
        <v>662</v>
      </c>
      <c r="B6" s="4" t="s">
        <v>666</v>
      </c>
      <c r="C6" s="4" t="s">
        <v>667</v>
      </c>
      <c r="D6" s="4" t="s">
        <v>665</v>
      </c>
      <c r="E6" s="4" t="s">
        <v>315</v>
      </c>
      <c r="F6" s="4" t="s">
        <v>32</v>
      </c>
    </row>
    <row r="7" customFormat="false" ht="15" hidden="false" customHeight="false" outlineLevel="0" collapsed="false">
      <c r="A7" s="4" t="s">
        <v>662</v>
      </c>
      <c r="B7" s="4" t="s">
        <v>668</v>
      </c>
      <c r="C7" s="4" t="s">
        <v>669</v>
      </c>
      <c r="D7" s="4" t="s">
        <v>670</v>
      </c>
      <c r="E7" s="4" t="s">
        <v>315</v>
      </c>
      <c r="F7" s="4" t="s">
        <v>32</v>
      </c>
    </row>
    <row r="8" customFormat="false" ht="15" hidden="false" customHeight="false" outlineLevel="0" collapsed="false">
      <c r="A8" s="4" t="s">
        <v>662</v>
      </c>
      <c r="B8" s="4" t="s">
        <v>671</v>
      </c>
      <c r="C8" s="4" t="s">
        <v>672</v>
      </c>
      <c r="D8" s="4" t="s">
        <v>670</v>
      </c>
      <c r="E8" s="4" t="s">
        <v>315</v>
      </c>
      <c r="F8" s="4" t="s">
        <v>32</v>
      </c>
    </row>
    <row r="9" customFormat="false" ht="15" hidden="false" customHeight="false" outlineLevel="0" collapsed="false">
      <c r="A9" s="4" t="s">
        <v>662</v>
      </c>
      <c r="B9" s="4" t="s">
        <v>673</v>
      </c>
      <c r="C9" s="4" t="s">
        <v>674</v>
      </c>
      <c r="D9" s="4" t="s">
        <v>670</v>
      </c>
      <c r="E9" s="4" t="s">
        <v>315</v>
      </c>
      <c r="F9" s="4" t="s">
        <v>32</v>
      </c>
    </row>
    <row r="10" customFormat="false" ht="15" hidden="false" customHeight="false" outlineLevel="0" collapsed="false">
      <c r="A10" s="4" t="s">
        <v>675</v>
      </c>
      <c r="B10" s="4" t="s">
        <v>676</v>
      </c>
      <c r="C10" s="4" t="s">
        <v>677</v>
      </c>
      <c r="D10" s="4" t="s">
        <v>665</v>
      </c>
      <c r="E10" s="4" t="s">
        <v>320</v>
      </c>
      <c r="F10" s="4" t="s">
        <v>32</v>
      </c>
    </row>
    <row r="11" customFormat="false" ht="15" hidden="false" customHeight="false" outlineLevel="0" collapsed="false">
      <c r="A11" s="4" t="s">
        <v>675</v>
      </c>
      <c r="B11" s="4" t="s">
        <v>678</v>
      </c>
      <c r="C11" s="4" t="s">
        <v>679</v>
      </c>
      <c r="D11" s="4" t="s">
        <v>665</v>
      </c>
      <c r="E11" s="4" t="s">
        <v>320</v>
      </c>
      <c r="F11" s="4" t="s">
        <v>32</v>
      </c>
    </row>
    <row r="12" customFormat="false" ht="15" hidden="false" customHeight="false" outlineLevel="0" collapsed="false">
      <c r="A12" s="4" t="s">
        <v>675</v>
      </c>
      <c r="B12" s="4" t="s">
        <v>680</v>
      </c>
      <c r="C12" s="4" t="s">
        <v>681</v>
      </c>
      <c r="D12" s="4" t="s">
        <v>665</v>
      </c>
      <c r="E12" s="4" t="s">
        <v>320</v>
      </c>
      <c r="F12" s="4" t="s">
        <v>32</v>
      </c>
    </row>
    <row r="13" customFormat="false" ht="15" hidden="false" customHeight="false" outlineLevel="0" collapsed="false">
      <c r="A13" s="4" t="s">
        <v>682</v>
      </c>
      <c r="B13" s="4" t="s">
        <v>683</v>
      </c>
      <c r="C13" s="4" t="s">
        <v>684</v>
      </c>
      <c r="D13" s="4" t="s">
        <v>665</v>
      </c>
      <c r="E13" s="4" t="s">
        <v>323</v>
      </c>
      <c r="F13" s="4" t="s">
        <v>32</v>
      </c>
    </row>
    <row r="14" customFormat="false" ht="23.85" hidden="false" customHeight="false" outlineLevel="0" collapsed="false">
      <c r="A14" s="4" t="s">
        <v>682</v>
      </c>
      <c r="B14" s="4" t="s">
        <v>685</v>
      </c>
      <c r="C14" s="4" t="s">
        <v>686</v>
      </c>
      <c r="D14" s="4" t="s">
        <v>665</v>
      </c>
      <c r="E14" s="4" t="s">
        <v>323</v>
      </c>
      <c r="F14" s="4" t="s">
        <v>687</v>
      </c>
    </row>
    <row r="15" customFormat="false" ht="15" hidden="false" customHeight="false" outlineLevel="0" collapsed="false">
      <c r="A15" s="4" t="s">
        <v>688</v>
      </c>
      <c r="B15" s="4" t="s">
        <v>689</v>
      </c>
      <c r="C15" s="4" t="s">
        <v>690</v>
      </c>
      <c r="D15" s="4" t="s">
        <v>665</v>
      </c>
      <c r="E15" s="4" t="s">
        <v>326</v>
      </c>
      <c r="F15" s="4" t="s">
        <v>32</v>
      </c>
    </row>
    <row r="16" customFormat="false" ht="15" hidden="false" customHeight="false" outlineLevel="0" collapsed="false">
      <c r="A16" s="4" t="s">
        <v>688</v>
      </c>
      <c r="B16" s="4" t="s">
        <v>691</v>
      </c>
      <c r="C16" s="4" t="s">
        <v>692</v>
      </c>
      <c r="D16" s="4" t="s">
        <v>665</v>
      </c>
      <c r="E16" s="4" t="s">
        <v>326</v>
      </c>
      <c r="F16" s="4" t="s">
        <v>32</v>
      </c>
    </row>
    <row r="17" customFormat="false" ht="15" hidden="false" customHeight="false" outlineLevel="0" collapsed="false">
      <c r="A17" s="4" t="s">
        <v>688</v>
      </c>
      <c r="B17" s="4" t="s">
        <v>693</v>
      </c>
      <c r="C17" s="4" t="s">
        <v>694</v>
      </c>
      <c r="D17" s="4" t="s">
        <v>665</v>
      </c>
      <c r="E17" s="4" t="s">
        <v>326</v>
      </c>
      <c r="F17" s="4" t="s">
        <v>32</v>
      </c>
    </row>
    <row r="18" customFormat="false" ht="23.85" hidden="false" customHeight="false" outlineLevel="0" collapsed="false">
      <c r="A18" s="4" t="s">
        <v>695</v>
      </c>
      <c r="B18" s="4" t="s">
        <v>696</v>
      </c>
      <c r="C18" s="4" t="s">
        <v>697</v>
      </c>
      <c r="D18" s="4" t="s">
        <v>665</v>
      </c>
      <c r="E18" s="4" t="s">
        <v>329</v>
      </c>
      <c r="F18" s="4" t="s">
        <v>32</v>
      </c>
    </row>
    <row r="19" customFormat="false" ht="15" hidden="false" customHeight="false" outlineLevel="0" collapsed="false">
      <c r="A19" s="4" t="s">
        <v>695</v>
      </c>
      <c r="B19" s="4" t="s">
        <v>698</v>
      </c>
      <c r="C19" s="4" t="s">
        <v>699</v>
      </c>
      <c r="D19" s="4" t="s">
        <v>665</v>
      </c>
      <c r="E19" s="4" t="s">
        <v>329</v>
      </c>
      <c r="F19" s="4" t="s">
        <v>32</v>
      </c>
    </row>
    <row r="20" customFormat="false" ht="15" hidden="false" customHeight="false" outlineLevel="0" collapsed="false">
      <c r="A20" s="4" t="s">
        <v>695</v>
      </c>
      <c r="B20" s="4" t="s">
        <v>700</v>
      </c>
      <c r="C20" s="4" t="s">
        <v>701</v>
      </c>
      <c r="D20" s="4" t="s">
        <v>665</v>
      </c>
      <c r="E20" s="4" t="s">
        <v>329</v>
      </c>
      <c r="F20" s="4" t="s">
        <v>32</v>
      </c>
    </row>
    <row r="21" customFormat="false" ht="15" hidden="false" customHeight="false" outlineLevel="0" collapsed="false">
      <c r="A21" s="4" t="s">
        <v>695</v>
      </c>
      <c r="B21" s="4" t="s">
        <v>702</v>
      </c>
      <c r="C21" s="4" t="s">
        <v>703</v>
      </c>
      <c r="D21" s="4" t="s">
        <v>670</v>
      </c>
      <c r="E21" s="4" t="s">
        <v>329</v>
      </c>
      <c r="F21" s="4" t="s">
        <v>32</v>
      </c>
    </row>
    <row r="22" customFormat="false" ht="15" hidden="false" customHeight="false" outlineLevel="0" collapsed="false">
      <c r="A22" s="4" t="s">
        <v>96</v>
      </c>
      <c r="B22" s="4" t="s">
        <v>704</v>
      </c>
      <c r="C22" s="4" t="s">
        <v>705</v>
      </c>
      <c r="D22" s="4" t="s">
        <v>665</v>
      </c>
      <c r="E22" s="4" t="s">
        <v>332</v>
      </c>
      <c r="F22" s="4" t="s">
        <v>32</v>
      </c>
    </row>
    <row r="23" customFormat="false" ht="15" hidden="false" customHeight="false" outlineLevel="0" collapsed="false">
      <c r="A23" s="4" t="s">
        <v>96</v>
      </c>
      <c r="B23" s="4" t="s">
        <v>706</v>
      </c>
      <c r="C23" s="4" t="s">
        <v>707</v>
      </c>
      <c r="D23" s="4" t="s">
        <v>665</v>
      </c>
      <c r="E23" s="4" t="s">
        <v>332</v>
      </c>
      <c r="F23" s="4" t="s">
        <v>32</v>
      </c>
    </row>
    <row r="24" customFormat="false" ht="23.85" hidden="false" customHeight="false" outlineLevel="0" collapsed="false">
      <c r="A24" s="4" t="s">
        <v>695</v>
      </c>
      <c r="B24" s="4" t="s">
        <v>708</v>
      </c>
      <c r="C24" s="4" t="s">
        <v>709</v>
      </c>
      <c r="D24" s="4" t="s">
        <v>665</v>
      </c>
      <c r="E24" s="4" t="s">
        <v>335</v>
      </c>
      <c r="F24" s="4" t="s">
        <v>32</v>
      </c>
    </row>
    <row r="25" customFormat="false" ht="15" hidden="false" customHeight="false" outlineLevel="0" collapsed="false">
      <c r="A25" s="4" t="s">
        <v>695</v>
      </c>
      <c r="B25" s="4" t="s">
        <v>710</v>
      </c>
      <c r="C25" s="4" t="s">
        <v>711</v>
      </c>
      <c r="D25" s="4" t="s">
        <v>665</v>
      </c>
      <c r="E25" s="4" t="s">
        <v>335</v>
      </c>
      <c r="F25" s="4" t="s">
        <v>32</v>
      </c>
    </row>
    <row r="26" customFormat="false" ht="15" hidden="false" customHeight="false" outlineLevel="0" collapsed="false">
      <c r="A26" s="4" t="s">
        <v>98</v>
      </c>
      <c r="B26" s="4" t="s">
        <v>712</v>
      </c>
      <c r="C26" s="4" t="s">
        <v>713</v>
      </c>
      <c r="D26" s="4" t="s">
        <v>665</v>
      </c>
      <c r="E26" s="4" t="s">
        <v>339</v>
      </c>
      <c r="F26" s="4" t="s">
        <v>32</v>
      </c>
    </row>
    <row r="27" customFormat="false" ht="15" hidden="false" customHeight="false" outlineLevel="0" collapsed="false">
      <c r="A27" s="4" t="s">
        <v>98</v>
      </c>
      <c r="B27" s="4" t="s">
        <v>714</v>
      </c>
      <c r="C27" s="4" t="s">
        <v>715</v>
      </c>
      <c r="D27" s="4" t="s">
        <v>665</v>
      </c>
      <c r="E27" s="4" t="s">
        <v>339</v>
      </c>
      <c r="F27" s="4" t="s">
        <v>32</v>
      </c>
    </row>
    <row r="28" customFormat="false" ht="15" hidden="false" customHeight="false" outlineLevel="0" collapsed="false">
      <c r="A28" s="4" t="s">
        <v>98</v>
      </c>
      <c r="B28" s="4" t="s">
        <v>716</v>
      </c>
      <c r="C28" s="4" t="s">
        <v>717</v>
      </c>
      <c r="D28" s="4" t="s">
        <v>665</v>
      </c>
      <c r="E28" s="4" t="s">
        <v>339</v>
      </c>
      <c r="F28" s="4" t="s">
        <v>32</v>
      </c>
    </row>
    <row r="29" customFormat="false" ht="15" hidden="false" customHeight="false" outlineLevel="0" collapsed="false">
      <c r="A29" s="4" t="s">
        <v>343</v>
      </c>
      <c r="B29" s="4" t="s">
        <v>718</v>
      </c>
      <c r="C29" s="4" t="s">
        <v>719</v>
      </c>
      <c r="D29" s="4" t="s">
        <v>665</v>
      </c>
      <c r="E29" s="4" t="s">
        <v>342</v>
      </c>
      <c r="F29" s="4" t="s">
        <v>32</v>
      </c>
    </row>
    <row r="30" customFormat="false" ht="15" hidden="false" customHeight="false" outlineLevel="0" collapsed="false">
      <c r="A30" s="4" t="s">
        <v>343</v>
      </c>
      <c r="B30" s="4" t="s">
        <v>720</v>
      </c>
      <c r="C30" s="4" t="s">
        <v>721</v>
      </c>
      <c r="D30" s="4" t="s">
        <v>665</v>
      </c>
      <c r="E30" s="4" t="s">
        <v>342</v>
      </c>
      <c r="F30" s="4" t="s">
        <v>32</v>
      </c>
    </row>
    <row r="31" customFormat="false" ht="15" hidden="false" customHeight="false" outlineLevel="0" collapsed="false">
      <c r="A31" s="4" t="s">
        <v>343</v>
      </c>
      <c r="B31" s="4" t="s">
        <v>722</v>
      </c>
      <c r="C31" s="4" t="s">
        <v>723</v>
      </c>
      <c r="D31" s="4" t="s">
        <v>665</v>
      </c>
      <c r="E31" s="4" t="s">
        <v>342</v>
      </c>
      <c r="F31" s="4" t="s">
        <v>32</v>
      </c>
    </row>
    <row r="32" customFormat="false" ht="15" hidden="false" customHeight="false" outlineLevel="0" collapsed="false">
      <c r="A32" s="4" t="s">
        <v>343</v>
      </c>
      <c r="B32" s="4" t="s">
        <v>724</v>
      </c>
      <c r="C32" s="4" t="s">
        <v>725</v>
      </c>
      <c r="D32" s="4" t="s">
        <v>665</v>
      </c>
      <c r="E32" s="4" t="s">
        <v>342</v>
      </c>
      <c r="F32" s="4" t="s">
        <v>32</v>
      </c>
    </row>
    <row r="33" customFormat="false" ht="15" hidden="false" customHeight="false" outlineLevel="0" collapsed="false">
      <c r="A33" s="4" t="s">
        <v>343</v>
      </c>
      <c r="B33" s="4" t="s">
        <v>726</v>
      </c>
      <c r="C33" s="4" t="s">
        <v>727</v>
      </c>
      <c r="D33" s="4" t="s">
        <v>665</v>
      </c>
      <c r="E33" s="4" t="s">
        <v>342</v>
      </c>
      <c r="F33" s="4" t="s">
        <v>32</v>
      </c>
    </row>
    <row r="34" customFormat="false" ht="15" hidden="false" customHeight="false" outlineLevel="0" collapsed="false">
      <c r="A34" s="4" t="s">
        <v>728</v>
      </c>
      <c r="B34" s="4" t="s">
        <v>346</v>
      </c>
      <c r="C34" s="4" t="s">
        <v>729</v>
      </c>
      <c r="D34" s="4" t="s">
        <v>665</v>
      </c>
      <c r="E34" s="4" t="s">
        <v>345</v>
      </c>
      <c r="F34" s="4" t="s">
        <v>32</v>
      </c>
    </row>
    <row r="35" customFormat="false" ht="15" hidden="false" customHeight="false" outlineLevel="0" collapsed="false">
      <c r="A35" s="4" t="s">
        <v>730</v>
      </c>
      <c r="B35" s="4" t="s">
        <v>731</v>
      </c>
      <c r="C35" s="4" t="s">
        <v>732</v>
      </c>
      <c r="D35" s="4" t="s">
        <v>665</v>
      </c>
      <c r="E35" s="4" t="s">
        <v>349</v>
      </c>
      <c r="F35" s="4" t="s">
        <v>32</v>
      </c>
    </row>
    <row r="36" customFormat="false" ht="15" hidden="false" customHeight="false" outlineLevel="0" collapsed="false">
      <c r="A36" s="4" t="s">
        <v>733</v>
      </c>
      <c r="B36" s="4" t="s">
        <v>734</v>
      </c>
      <c r="C36" s="4" t="s">
        <v>735</v>
      </c>
      <c r="D36" s="4" t="s">
        <v>665</v>
      </c>
      <c r="E36" s="4" t="s">
        <v>356</v>
      </c>
      <c r="F36" s="4" t="s">
        <v>32</v>
      </c>
    </row>
    <row r="37" customFormat="false" ht="15" hidden="false" customHeight="false" outlineLevel="0" collapsed="false">
      <c r="A37" s="4" t="s">
        <v>736</v>
      </c>
      <c r="B37" s="4" t="s">
        <v>737</v>
      </c>
      <c r="C37" s="4" t="s">
        <v>738</v>
      </c>
      <c r="D37" s="4" t="s">
        <v>665</v>
      </c>
      <c r="E37" s="4" t="s">
        <v>362</v>
      </c>
      <c r="F37" s="4" t="s">
        <v>32</v>
      </c>
    </row>
    <row r="38" customFormat="false" ht="15" hidden="false" customHeight="false" outlineLevel="0" collapsed="false">
      <c r="A38" s="4" t="s">
        <v>739</v>
      </c>
      <c r="B38" s="4" t="s">
        <v>740</v>
      </c>
      <c r="C38" s="4" t="s">
        <v>741</v>
      </c>
      <c r="D38" s="4" t="s">
        <v>665</v>
      </c>
      <c r="E38" s="4" t="s">
        <v>362</v>
      </c>
      <c r="F38" s="4" t="s">
        <v>32</v>
      </c>
    </row>
    <row r="39" customFormat="false" ht="15" hidden="false" customHeight="false" outlineLevel="0" collapsed="false">
      <c r="A39" s="4" t="s">
        <v>739</v>
      </c>
      <c r="B39" s="4" t="s">
        <v>742</v>
      </c>
      <c r="C39" s="4" t="s">
        <v>743</v>
      </c>
      <c r="D39" s="4" t="s">
        <v>665</v>
      </c>
      <c r="E39" s="4" t="s">
        <v>362</v>
      </c>
      <c r="F39" s="4" t="s">
        <v>32</v>
      </c>
    </row>
    <row r="40" customFormat="false" ht="15" hidden="false" customHeight="false" outlineLevel="0" collapsed="false">
      <c r="A40" s="4" t="s">
        <v>739</v>
      </c>
      <c r="B40" s="4" t="s">
        <v>744</v>
      </c>
      <c r="C40" s="4" t="s">
        <v>745</v>
      </c>
      <c r="D40" s="4" t="s">
        <v>665</v>
      </c>
      <c r="E40" s="4" t="s">
        <v>367</v>
      </c>
      <c r="F40" s="4" t="s">
        <v>32</v>
      </c>
    </row>
    <row r="41" customFormat="false" ht="15" hidden="false" customHeight="false" outlineLevel="0" collapsed="false">
      <c r="A41" s="4" t="s">
        <v>688</v>
      </c>
      <c r="B41" s="4" t="s">
        <v>746</v>
      </c>
      <c r="C41" s="4" t="s">
        <v>747</v>
      </c>
      <c r="D41" s="4" t="s">
        <v>665</v>
      </c>
      <c r="E41" s="4" t="s">
        <v>371</v>
      </c>
      <c r="F41" s="4" t="s">
        <v>32</v>
      </c>
    </row>
    <row r="42" customFormat="false" ht="15" hidden="false" customHeight="false" outlineLevel="0" collapsed="false">
      <c r="A42" s="4" t="s">
        <v>748</v>
      </c>
      <c r="B42" s="4" t="s">
        <v>749</v>
      </c>
      <c r="C42" s="4" t="s">
        <v>750</v>
      </c>
      <c r="D42" s="4" t="s">
        <v>665</v>
      </c>
      <c r="E42" s="4" t="s">
        <v>375</v>
      </c>
      <c r="F42" s="4" t="s">
        <v>32</v>
      </c>
    </row>
    <row r="43" customFormat="false" ht="15" hidden="false" customHeight="false" outlineLevel="0" collapsed="false">
      <c r="A43" s="4" t="s">
        <v>96</v>
      </c>
      <c r="B43" s="4" t="s">
        <v>751</v>
      </c>
      <c r="C43" s="4" t="s">
        <v>752</v>
      </c>
      <c r="D43" s="4" t="s">
        <v>665</v>
      </c>
      <c r="E43" s="4" t="s">
        <v>379</v>
      </c>
      <c r="F43" s="4" t="s">
        <v>32</v>
      </c>
    </row>
    <row r="44" customFormat="false" ht="15" hidden="false" customHeight="false" outlineLevel="0" collapsed="false">
      <c r="A44" s="4" t="s">
        <v>96</v>
      </c>
      <c r="B44" s="4" t="s">
        <v>753</v>
      </c>
      <c r="C44" s="4" t="s">
        <v>754</v>
      </c>
      <c r="D44" s="4" t="s">
        <v>665</v>
      </c>
      <c r="E44" s="4" t="s">
        <v>379</v>
      </c>
      <c r="F44" s="4" t="s">
        <v>755</v>
      </c>
    </row>
    <row r="45" customFormat="false" ht="15" hidden="false" customHeight="false" outlineLevel="0" collapsed="false">
      <c r="A45" s="4" t="s">
        <v>98</v>
      </c>
      <c r="B45" s="4" t="s">
        <v>756</v>
      </c>
      <c r="C45" s="4" t="s">
        <v>757</v>
      </c>
      <c r="D45" s="4" t="s">
        <v>665</v>
      </c>
      <c r="E45" s="4" t="s">
        <v>383</v>
      </c>
      <c r="F45" s="4" t="s">
        <v>32</v>
      </c>
    </row>
    <row r="46" customFormat="false" ht="15" hidden="false" customHeight="false" outlineLevel="0" collapsed="false">
      <c r="A46" s="4" t="s">
        <v>728</v>
      </c>
      <c r="B46" s="4" t="s">
        <v>758</v>
      </c>
      <c r="C46" s="4" t="s">
        <v>759</v>
      </c>
      <c r="D46" s="4" t="s">
        <v>665</v>
      </c>
      <c r="E46" s="4" t="s">
        <v>391</v>
      </c>
      <c r="F46" s="4" t="s">
        <v>32</v>
      </c>
    </row>
    <row r="47" customFormat="false" ht="15" hidden="false" customHeight="false" outlineLevel="0" collapsed="false">
      <c r="A47" s="4" t="s">
        <v>728</v>
      </c>
      <c r="B47" s="4" t="s">
        <v>760</v>
      </c>
      <c r="C47" s="4" t="s">
        <v>761</v>
      </c>
      <c r="D47" s="4" t="s">
        <v>670</v>
      </c>
      <c r="E47" s="4" t="s">
        <v>391</v>
      </c>
      <c r="F47" s="4" t="s">
        <v>32</v>
      </c>
    </row>
    <row r="48" customFormat="false" ht="15" hidden="false" customHeight="false" outlineLevel="0" collapsed="false">
      <c r="A48" s="4" t="s">
        <v>762</v>
      </c>
      <c r="B48" s="4" t="s">
        <v>763</v>
      </c>
      <c r="C48" s="4" t="s">
        <v>764</v>
      </c>
      <c r="D48" s="4" t="s">
        <v>665</v>
      </c>
      <c r="E48" s="4" t="s">
        <v>394</v>
      </c>
      <c r="F48" s="4" t="s">
        <v>32</v>
      </c>
    </row>
  </sheetData>
  <autoFilter ref="A4:F4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5" min="4" style="0" width="30"/>
    <col collapsed="false" customWidth="true" hidden="false" outlineLevel="0" max="6" min="6" style="0" width="10"/>
  </cols>
  <sheetData>
    <row r="1" customFormat="false" ht="17.35" hidden="false" customHeight="false" outlineLevel="0" collapsed="false">
      <c r="A1" s="1" t="s">
        <v>20</v>
      </c>
    </row>
    <row r="2" customFormat="false" ht="15" hidden="false" customHeight="false" outlineLevel="0" collapsed="false">
      <c r="A2" s="2" t="s">
        <v>765</v>
      </c>
    </row>
    <row r="4" customFormat="false" ht="30" hidden="false" customHeight="true" outlineLevel="0" collapsed="false">
      <c r="A4" s="3" t="s">
        <v>766</v>
      </c>
      <c r="B4" s="3" t="s">
        <v>606</v>
      </c>
      <c r="C4" s="3" t="s">
        <v>767</v>
      </c>
      <c r="D4" s="3" t="s">
        <v>768</v>
      </c>
      <c r="E4" s="3" t="s">
        <v>498</v>
      </c>
      <c r="F4" s="3" t="s">
        <v>769</v>
      </c>
    </row>
    <row r="5" customFormat="false" ht="15" hidden="false" customHeight="false" outlineLevel="0" collapsed="false">
      <c r="A5" s="4" t="s">
        <v>770</v>
      </c>
      <c r="B5" s="4" t="s">
        <v>771</v>
      </c>
      <c r="C5" s="4" t="s">
        <v>772</v>
      </c>
      <c r="D5" s="4" t="s">
        <v>773</v>
      </c>
      <c r="E5" s="4" t="s">
        <v>774</v>
      </c>
      <c r="F5" s="4" t="s">
        <v>775</v>
      </c>
    </row>
    <row r="6" customFormat="false" ht="15" hidden="false" customHeight="false" outlineLevel="0" collapsed="false">
      <c r="A6" s="4" t="s">
        <v>776</v>
      </c>
      <c r="B6" s="4" t="s">
        <v>777</v>
      </c>
      <c r="C6" s="4" t="s">
        <v>778</v>
      </c>
      <c r="D6" s="4" t="s">
        <v>779</v>
      </c>
      <c r="E6" s="4" t="s">
        <v>780</v>
      </c>
      <c r="F6" s="4" t="s">
        <v>781</v>
      </c>
    </row>
    <row r="7" customFormat="false" ht="15" hidden="false" customHeight="false" outlineLevel="0" collapsed="false">
      <c r="A7" s="4" t="s">
        <v>782</v>
      </c>
      <c r="B7" s="4" t="s">
        <v>777</v>
      </c>
      <c r="C7" s="4" t="s">
        <v>783</v>
      </c>
      <c r="D7" s="4" t="s">
        <v>784</v>
      </c>
      <c r="E7" s="4" t="s">
        <v>785</v>
      </c>
      <c r="F7" s="4" t="s">
        <v>786</v>
      </c>
    </row>
    <row r="8" customFormat="false" ht="15" hidden="false" customHeight="false" outlineLevel="0" collapsed="false">
      <c r="A8" s="4" t="s">
        <v>787</v>
      </c>
      <c r="B8" s="4" t="s">
        <v>777</v>
      </c>
      <c r="C8" s="4" t="s">
        <v>788</v>
      </c>
      <c r="D8" s="4" t="s">
        <v>789</v>
      </c>
      <c r="E8" s="4" t="s">
        <v>790</v>
      </c>
      <c r="F8" s="4" t="s">
        <v>781</v>
      </c>
    </row>
    <row r="9" customFormat="false" ht="15" hidden="false" customHeight="false" outlineLevel="0" collapsed="false">
      <c r="A9" s="4" t="s">
        <v>791</v>
      </c>
      <c r="B9" s="4" t="s">
        <v>792</v>
      </c>
      <c r="C9" s="4" t="s">
        <v>793</v>
      </c>
      <c r="D9" s="4" t="s">
        <v>794</v>
      </c>
      <c r="E9" s="4" t="s">
        <v>795</v>
      </c>
      <c r="F9" s="4" t="s">
        <v>796</v>
      </c>
    </row>
    <row r="10" customFormat="false" ht="15" hidden="false" customHeight="false" outlineLevel="0" collapsed="false">
      <c r="A10" s="4" t="s">
        <v>797</v>
      </c>
      <c r="B10" s="4" t="s">
        <v>777</v>
      </c>
      <c r="C10" s="4" t="s">
        <v>798</v>
      </c>
      <c r="D10" s="4" t="s">
        <v>789</v>
      </c>
      <c r="E10" s="4" t="s">
        <v>799</v>
      </c>
      <c r="F10" s="4" t="s">
        <v>781</v>
      </c>
    </row>
    <row r="11" customFormat="false" ht="15" hidden="false" customHeight="false" outlineLevel="0" collapsed="false">
      <c r="A11" s="4" t="s">
        <v>800</v>
      </c>
      <c r="B11" s="4" t="s">
        <v>801</v>
      </c>
      <c r="C11" s="4" t="s">
        <v>802</v>
      </c>
      <c r="D11" s="4" t="s">
        <v>803</v>
      </c>
      <c r="E11" s="4" t="s">
        <v>804</v>
      </c>
      <c r="F11" s="4" t="s">
        <v>781</v>
      </c>
    </row>
    <row r="12" customFormat="false" ht="15" hidden="false" customHeight="false" outlineLevel="0" collapsed="false">
      <c r="A12" s="4" t="s">
        <v>805</v>
      </c>
      <c r="B12" s="4" t="s">
        <v>806</v>
      </c>
      <c r="C12" s="4" t="s">
        <v>807</v>
      </c>
      <c r="D12" s="4" t="s">
        <v>794</v>
      </c>
      <c r="E12" s="4" t="s">
        <v>808</v>
      </c>
      <c r="F12" s="4" t="s">
        <v>781</v>
      </c>
    </row>
    <row r="13" customFormat="false" ht="15" hidden="false" customHeight="false" outlineLevel="0" collapsed="false">
      <c r="A13" s="4" t="s">
        <v>809</v>
      </c>
      <c r="B13" s="4" t="s">
        <v>792</v>
      </c>
      <c r="C13" s="4" t="s">
        <v>810</v>
      </c>
      <c r="D13" s="4" t="s">
        <v>421</v>
      </c>
      <c r="E13" s="4" t="s">
        <v>811</v>
      </c>
      <c r="F13" s="4" t="s">
        <v>812</v>
      </c>
    </row>
  </sheetData>
  <autoFilter ref="A4:F1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22"/>
    <col collapsed="false" customWidth="true" hidden="false" outlineLevel="0" max="4" min="4" style="0" width="24"/>
    <col collapsed="false" customWidth="true" hidden="false" outlineLevel="0" max="5" min="5" style="0" width="80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813</v>
      </c>
    </row>
    <row r="4" customFormat="false" ht="30" hidden="false" customHeight="true" outlineLevel="0" collapsed="false">
      <c r="A4" s="3" t="s">
        <v>814</v>
      </c>
      <c r="B4" s="3" t="s">
        <v>815</v>
      </c>
      <c r="C4" s="3" t="s">
        <v>816</v>
      </c>
      <c r="D4" s="3" t="s">
        <v>194</v>
      </c>
      <c r="E4" s="3" t="s">
        <v>767</v>
      </c>
    </row>
    <row r="5" customFormat="false" ht="15" hidden="false" customHeight="false" outlineLevel="0" collapsed="false">
      <c r="A5" s="4" t="s">
        <v>817</v>
      </c>
      <c r="B5" s="4" t="s">
        <v>818</v>
      </c>
      <c r="C5" s="4" t="s">
        <v>819</v>
      </c>
      <c r="D5" s="4" t="s">
        <v>820</v>
      </c>
      <c r="E5" s="4" t="s">
        <v>821</v>
      </c>
    </row>
    <row r="6" customFormat="false" ht="23.85" hidden="false" customHeight="false" outlineLevel="0" collapsed="false">
      <c r="A6" s="4" t="s">
        <v>822</v>
      </c>
      <c r="B6" s="4" t="s">
        <v>823</v>
      </c>
      <c r="C6" s="4" t="s">
        <v>688</v>
      </c>
      <c r="D6" s="4" t="s">
        <v>820</v>
      </c>
      <c r="E6" s="4" t="s">
        <v>824</v>
      </c>
    </row>
    <row r="7" customFormat="false" ht="15" hidden="false" customHeight="false" outlineLevel="0" collapsed="false">
      <c r="A7" s="4" t="s">
        <v>825</v>
      </c>
      <c r="B7" s="4" t="s">
        <v>826</v>
      </c>
      <c r="C7" s="4" t="s">
        <v>688</v>
      </c>
      <c r="D7" s="4" t="s">
        <v>32</v>
      </c>
      <c r="E7" s="4" t="s">
        <v>827</v>
      </c>
    </row>
    <row r="8" customFormat="false" ht="15" hidden="false" customHeight="false" outlineLevel="0" collapsed="false">
      <c r="A8" s="4" t="s">
        <v>828</v>
      </c>
      <c r="B8" s="4" t="s">
        <v>829</v>
      </c>
      <c r="C8" s="4" t="s">
        <v>251</v>
      </c>
      <c r="D8" s="4" t="s">
        <v>32</v>
      </c>
      <c r="E8" s="4" t="s">
        <v>830</v>
      </c>
    </row>
    <row r="9" customFormat="false" ht="15" hidden="false" customHeight="false" outlineLevel="0" collapsed="false">
      <c r="A9" s="4" t="s">
        <v>831</v>
      </c>
      <c r="B9" s="4" t="s">
        <v>832</v>
      </c>
      <c r="C9" s="4" t="s">
        <v>833</v>
      </c>
      <c r="D9" s="4" t="s">
        <v>32</v>
      </c>
      <c r="E9" s="4" t="s">
        <v>834</v>
      </c>
    </row>
    <row r="10" customFormat="false" ht="15" hidden="false" customHeight="false" outlineLevel="0" collapsed="false">
      <c r="A10" s="4" t="s">
        <v>835</v>
      </c>
      <c r="B10" s="4" t="s">
        <v>836</v>
      </c>
      <c r="C10" s="4" t="s">
        <v>688</v>
      </c>
      <c r="D10" s="4" t="s">
        <v>32</v>
      </c>
      <c r="E10" s="4" t="s">
        <v>837</v>
      </c>
    </row>
    <row r="11" customFormat="false" ht="23.85" hidden="false" customHeight="false" outlineLevel="0" collapsed="false">
      <c r="A11" s="4" t="s">
        <v>431</v>
      </c>
      <c r="B11" s="4" t="s">
        <v>838</v>
      </c>
      <c r="C11" s="4" t="s">
        <v>688</v>
      </c>
      <c r="D11" s="4" t="s">
        <v>839</v>
      </c>
      <c r="E11" s="4" t="s">
        <v>840</v>
      </c>
    </row>
    <row r="12" customFormat="false" ht="15" hidden="false" customHeight="false" outlineLevel="0" collapsed="false">
      <c r="A12" s="4" t="s">
        <v>841</v>
      </c>
      <c r="B12" s="4" t="s">
        <v>842</v>
      </c>
      <c r="C12" s="4" t="s">
        <v>843</v>
      </c>
      <c r="D12" s="4" t="s">
        <v>32</v>
      </c>
      <c r="E12" s="4" t="s">
        <v>404</v>
      </c>
    </row>
    <row r="13" customFormat="false" ht="15" hidden="false" customHeight="false" outlineLevel="0" collapsed="false">
      <c r="A13" s="4" t="s">
        <v>427</v>
      </c>
      <c r="B13" s="4" t="s">
        <v>844</v>
      </c>
      <c r="C13" s="4" t="s">
        <v>845</v>
      </c>
      <c r="D13" s="4" t="s">
        <v>32</v>
      </c>
      <c r="E13" s="4" t="s">
        <v>846</v>
      </c>
    </row>
    <row r="14" customFormat="false" ht="15" hidden="false" customHeight="false" outlineLevel="0" collapsed="false">
      <c r="A14" s="4" t="s">
        <v>847</v>
      </c>
      <c r="B14" s="4" t="s">
        <v>848</v>
      </c>
      <c r="C14" s="4" t="s">
        <v>833</v>
      </c>
      <c r="D14" s="4" t="s">
        <v>849</v>
      </c>
      <c r="E14" s="4" t="s">
        <v>850</v>
      </c>
    </row>
    <row r="15" customFormat="false" ht="15" hidden="false" customHeight="false" outlineLevel="0" collapsed="false">
      <c r="A15" s="4" t="s">
        <v>175</v>
      </c>
      <c r="B15" s="4" t="s">
        <v>851</v>
      </c>
      <c r="C15" s="4" t="s">
        <v>833</v>
      </c>
      <c r="D15" s="4" t="s">
        <v>32</v>
      </c>
      <c r="E15" s="4" t="s">
        <v>852</v>
      </c>
    </row>
    <row r="16" customFormat="false" ht="15" hidden="false" customHeight="false" outlineLevel="0" collapsed="false">
      <c r="A16" s="4" t="s">
        <v>466</v>
      </c>
      <c r="B16" s="4" t="s">
        <v>853</v>
      </c>
      <c r="C16" s="4" t="s">
        <v>833</v>
      </c>
      <c r="D16" s="4" t="s">
        <v>32</v>
      </c>
      <c r="E16" s="4" t="s">
        <v>854</v>
      </c>
    </row>
    <row r="17" customFormat="false" ht="23.85" hidden="false" customHeight="false" outlineLevel="0" collapsed="false">
      <c r="A17" s="4" t="s">
        <v>855</v>
      </c>
      <c r="B17" s="4" t="s">
        <v>856</v>
      </c>
      <c r="C17" s="4" t="s">
        <v>478</v>
      </c>
      <c r="D17" s="4" t="s">
        <v>32</v>
      </c>
      <c r="E17" s="4" t="s">
        <v>857</v>
      </c>
    </row>
  </sheetData>
  <autoFilter ref="A4:E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C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6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858</v>
      </c>
    </row>
    <row r="4" customFormat="false" ht="15" hidden="false" customHeight="false" outlineLevel="0" collapsed="false">
      <c r="A4" s="5" t="s">
        <v>859</v>
      </c>
    </row>
    <row r="5" customFormat="false" ht="30" hidden="false" customHeight="true" outlineLevel="0" collapsed="false">
      <c r="A5" s="8" t="s">
        <v>860</v>
      </c>
      <c r="B5" s="8"/>
      <c r="C5" s="8" t="s">
        <v>861</v>
      </c>
    </row>
    <row r="6" customFormat="false" ht="23.85" hidden="false" customHeight="false" outlineLevel="0" collapsed="false">
      <c r="A6" s="4" t="s">
        <v>862</v>
      </c>
      <c r="B6" s="4"/>
      <c r="C6" s="4" t="s">
        <v>863</v>
      </c>
    </row>
    <row r="7" customFormat="false" ht="23.85" hidden="false" customHeight="false" outlineLevel="0" collapsed="false">
      <c r="A7" s="4" t="s">
        <v>251</v>
      </c>
      <c r="B7" s="4"/>
      <c r="C7" s="4" t="s">
        <v>864</v>
      </c>
    </row>
    <row r="8" customFormat="false" ht="23.85" hidden="false" customHeight="false" outlineLevel="0" collapsed="false">
      <c r="A8" s="4" t="s">
        <v>865</v>
      </c>
      <c r="B8" s="4"/>
      <c r="C8" s="4" t="s">
        <v>866</v>
      </c>
    </row>
    <row r="9" customFormat="false" ht="15" hidden="false" customHeight="false" outlineLevel="0" collapsed="false">
      <c r="A9" s="4" t="s">
        <v>867</v>
      </c>
      <c r="B9" s="4"/>
      <c r="C9" s="4" t="s">
        <v>868</v>
      </c>
    </row>
    <row r="11" customFormat="false" ht="15" hidden="false" customHeight="false" outlineLevel="0" collapsed="false">
      <c r="A11" s="5" t="s">
        <v>869</v>
      </c>
    </row>
    <row r="12" customFormat="false" ht="30" hidden="false" customHeight="true" outlineLevel="0" collapsed="false">
      <c r="A12" s="8" t="s">
        <v>870</v>
      </c>
      <c r="B12" s="8"/>
      <c r="C12" s="8" t="s">
        <v>871</v>
      </c>
    </row>
    <row r="13" customFormat="false" ht="23.85" hidden="false" customHeight="false" outlineLevel="0" collapsed="false">
      <c r="A13" s="4" t="n">
        <v>1</v>
      </c>
      <c r="B13" s="4"/>
      <c r="C13" s="4" t="s">
        <v>872</v>
      </c>
    </row>
    <row r="14" customFormat="false" ht="23.85" hidden="false" customHeight="false" outlineLevel="0" collapsed="false">
      <c r="A14" s="4" t="n">
        <v>2</v>
      </c>
      <c r="B14" s="4"/>
      <c r="C14" s="4" t="s">
        <v>873</v>
      </c>
    </row>
    <row r="15" customFormat="false" ht="35.05" hidden="false" customHeight="false" outlineLevel="0" collapsed="false">
      <c r="A15" s="4" t="n">
        <v>3</v>
      </c>
      <c r="B15" s="4"/>
      <c r="C15" s="4" t="s">
        <v>874</v>
      </c>
    </row>
    <row r="16" customFormat="false" ht="15" hidden="false" customHeight="false" outlineLevel="0" collapsed="false">
      <c r="A16" s="4" t="n">
        <v>4</v>
      </c>
      <c r="B16" s="4"/>
      <c r="C16" s="4" t="s">
        <v>875</v>
      </c>
    </row>
    <row r="18" customFormat="false" ht="15" hidden="false" customHeight="false" outlineLevel="0" collapsed="false">
      <c r="A18" s="5" t="s">
        <v>876</v>
      </c>
    </row>
    <row r="19" customFormat="false" ht="30" hidden="false" customHeight="true" outlineLevel="0" collapsed="false">
      <c r="A19" s="3" t="s">
        <v>877</v>
      </c>
      <c r="B19" s="3" t="s">
        <v>878</v>
      </c>
      <c r="C19" s="3" t="s">
        <v>879</v>
      </c>
    </row>
    <row r="20" customFormat="false" ht="15" hidden="false" customHeight="false" outlineLevel="0" collapsed="false">
      <c r="A20" s="4" t="s">
        <v>661</v>
      </c>
      <c r="B20" s="4" t="s">
        <v>578</v>
      </c>
      <c r="C20" s="4" t="s">
        <v>880</v>
      </c>
    </row>
    <row r="21" customFormat="false" ht="15" hidden="false" customHeight="false" outlineLevel="0" collapsed="false">
      <c r="A21" s="4" t="s">
        <v>192</v>
      </c>
      <c r="B21" s="4" t="s">
        <v>578</v>
      </c>
      <c r="C21" s="4" t="s">
        <v>881</v>
      </c>
    </row>
    <row r="22" customFormat="false" ht="15" hidden="false" customHeight="false" outlineLevel="0" collapsed="false">
      <c r="A22" s="4" t="s">
        <v>882</v>
      </c>
      <c r="B22" s="4" t="s">
        <v>883</v>
      </c>
      <c r="C22" s="4" t="s">
        <v>884</v>
      </c>
    </row>
    <row r="23" customFormat="false" ht="15" hidden="false" customHeight="false" outlineLevel="0" collapsed="false">
      <c r="A23" s="4" t="s">
        <v>885</v>
      </c>
      <c r="B23" s="4" t="s">
        <v>883</v>
      </c>
      <c r="C23" s="4" t="s">
        <v>886</v>
      </c>
    </row>
    <row r="24" customFormat="false" ht="15" hidden="false" customHeight="false" outlineLevel="0" collapsed="false">
      <c r="A24" s="4" t="s">
        <v>887</v>
      </c>
      <c r="B24" s="4" t="s">
        <v>888</v>
      </c>
      <c r="C24" s="4" t="s">
        <v>889</v>
      </c>
    </row>
    <row r="25" customFormat="false" ht="15" hidden="false" customHeight="false" outlineLevel="0" collapsed="false">
      <c r="A25" s="4" t="s">
        <v>890</v>
      </c>
      <c r="B25" s="4" t="s">
        <v>891</v>
      </c>
      <c r="C25" s="4" t="s">
        <v>892</v>
      </c>
    </row>
    <row r="26" customFormat="false" ht="15" hidden="false" customHeight="false" outlineLevel="0" collapsed="false">
      <c r="A26" s="4" t="s">
        <v>195</v>
      </c>
      <c r="B26" s="4" t="s">
        <v>893</v>
      </c>
      <c r="C26" s="4" t="s">
        <v>894</v>
      </c>
    </row>
    <row r="27" customFormat="false" ht="15" hidden="false" customHeight="false" outlineLevel="0" collapsed="false">
      <c r="A27" s="4" t="s">
        <v>198</v>
      </c>
      <c r="B27" s="4" t="s">
        <v>578</v>
      </c>
      <c r="C27" s="4" t="s">
        <v>895</v>
      </c>
    </row>
    <row r="28" customFormat="false" ht="15" hidden="false" customHeight="false" outlineLevel="0" collapsed="false">
      <c r="A28" s="4" t="s">
        <v>199</v>
      </c>
      <c r="B28" s="4" t="s">
        <v>578</v>
      </c>
      <c r="C28" s="4" t="s">
        <v>896</v>
      </c>
    </row>
    <row r="29" customFormat="false" ht="15" hidden="false" customHeight="false" outlineLevel="0" collapsed="false">
      <c r="A29" s="4" t="s">
        <v>193</v>
      </c>
      <c r="B29" s="4" t="s">
        <v>897</v>
      </c>
      <c r="C29" s="4" t="s">
        <v>898</v>
      </c>
    </row>
    <row r="30" customFormat="false" ht="15" hidden="false" customHeight="false" outlineLevel="0" collapsed="false">
      <c r="A30" s="4" t="s">
        <v>879</v>
      </c>
      <c r="B30" s="4" t="s">
        <v>897</v>
      </c>
      <c r="C30" s="4" t="s">
        <v>899</v>
      </c>
    </row>
    <row r="31" customFormat="false" ht="15" hidden="false" customHeight="false" outlineLevel="0" collapsed="false">
      <c r="A31" s="4" t="s">
        <v>191</v>
      </c>
      <c r="B31" s="4" t="s">
        <v>883</v>
      </c>
      <c r="C31" s="4" t="s">
        <v>900</v>
      </c>
    </row>
    <row r="32" customFormat="false" ht="15" hidden="false" customHeight="false" outlineLevel="0" collapsed="false">
      <c r="A32" s="4" t="s">
        <v>106</v>
      </c>
      <c r="B32" s="4" t="s">
        <v>901</v>
      </c>
      <c r="C32" s="4" t="s">
        <v>902</v>
      </c>
    </row>
    <row r="33" customFormat="false" ht="15" hidden="false" customHeight="false" outlineLevel="0" collapsed="false">
      <c r="A33" s="4" t="s">
        <v>903</v>
      </c>
      <c r="B33" s="4" t="s">
        <v>901</v>
      </c>
      <c r="C33" s="4" t="s">
        <v>902</v>
      </c>
    </row>
    <row r="34" customFormat="false" ht="15" hidden="false" customHeight="false" outlineLevel="0" collapsed="false">
      <c r="A34" s="4" t="s">
        <v>904</v>
      </c>
      <c r="B34" s="4" t="s">
        <v>905</v>
      </c>
      <c r="C34" s="4" t="s">
        <v>906</v>
      </c>
    </row>
    <row r="35" customFormat="false" ht="15" hidden="false" customHeight="false" outlineLevel="0" collapsed="false">
      <c r="A35" s="4" t="s">
        <v>907</v>
      </c>
      <c r="B35" s="4" t="s">
        <v>905</v>
      </c>
      <c r="C35" s="4" t="s">
        <v>908</v>
      </c>
    </row>
    <row r="36" customFormat="false" ht="15" hidden="false" customHeight="false" outlineLevel="0" collapsed="false">
      <c r="A36" s="4" t="s">
        <v>48</v>
      </c>
      <c r="B36" s="4" t="s">
        <v>901</v>
      </c>
      <c r="C36" s="4" t="s">
        <v>909</v>
      </c>
    </row>
    <row r="38" customFormat="false" ht="15" hidden="false" customHeight="false" outlineLevel="0" collapsed="false">
      <c r="A38" s="5" t="s">
        <v>910</v>
      </c>
    </row>
    <row r="39" customFormat="false" ht="30" hidden="false" customHeight="true" outlineLevel="0" collapsed="false">
      <c r="A39" s="3" t="s">
        <v>882</v>
      </c>
      <c r="B39" s="3"/>
      <c r="C39" s="3"/>
    </row>
    <row r="40" customFormat="false" ht="15" hidden="false" customHeight="false" outlineLevel="0" collapsed="false">
      <c r="A40" s="4" t="s">
        <v>911</v>
      </c>
      <c r="B40" s="4"/>
      <c r="C40" s="4"/>
    </row>
    <row r="41" customFormat="false" ht="15" hidden="false" customHeight="false" outlineLevel="0" collapsed="false">
      <c r="A41" s="4" t="s">
        <v>912</v>
      </c>
      <c r="B41" s="4"/>
      <c r="C41" s="4"/>
    </row>
    <row r="42" customFormat="false" ht="15" hidden="false" customHeight="false" outlineLevel="0" collapsed="false">
      <c r="A42" s="4" t="s">
        <v>913</v>
      </c>
      <c r="B42" s="4"/>
      <c r="C42" s="4"/>
    </row>
    <row r="43" customFormat="false" ht="15" hidden="false" customHeight="false" outlineLevel="0" collapsed="false">
      <c r="A43" s="4" t="s">
        <v>914</v>
      </c>
      <c r="B43" s="4"/>
      <c r="C43" s="4"/>
    </row>
    <row r="44" customFormat="false" ht="15" hidden="false" customHeight="false" outlineLevel="0" collapsed="false">
      <c r="A44" s="4" t="s">
        <v>915</v>
      </c>
      <c r="B44" s="4"/>
      <c r="C44" s="4"/>
    </row>
    <row r="45" customFormat="false" ht="15" hidden="false" customHeight="false" outlineLevel="0" collapsed="false">
      <c r="A45" s="4" t="s">
        <v>916</v>
      </c>
      <c r="B45" s="4"/>
      <c r="C45" s="4"/>
    </row>
    <row r="47" customFormat="false" ht="15" hidden="false" customHeight="false" outlineLevel="0" collapsed="false">
      <c r="A47" s="5" t="s">
        <v>917</v>
      </c>
    </row>
    <row r="48" customFormat="false" ht="30" hidden="false" customHeight="true" outlineLevel="0" collapsed="false">
      <c r="A48" s="3" t="s">
        <v>918</v>
      </c>
      <c r="B48" s="3"/>
      <c r="C48" s="3" t="s">
        <v>919</v>
      </c>
    </row>
    <row r="49" customFormat="false" ht="15" hidden="false" customHeight="false" outlineLevel="0" collapsed="false">
      <c r="A49" s="4" t="s">
        <v>920</v>
      </c>
      <c r="B49" s="4"/>
      <c r="C49" s="4" t="s">
        <v>921</v>
      </c>
    </row>
    <row r="50" customFormat="false" ht="15" hidden="false" customHeight="false" outlineLevel="0" collapsed="false">
      <c r="A50" s="4" t="s">
        <v>922</v>
      </c>
      <c r="B50" s="4"/>
      <c r="C50" s="4" t="s">
        <v>923</v>
      </c>
    </row>
    <row r="51" customFormat="false" ht="15" hidden="false" customHeight="false" outlineLevel="0" collapsed="false">
      <c r="A51" s="4" t="s">
        <v>924</v>
      </c>
      <c r="B51" s="4"/>
      <c r="C51" s="4" t="s">
        <v>925</v>
      </c>
    </row>
    <row r="52" customFormat="false" ht="15" hidden="false" customHeight="false" outlineLevel="0" collapsed="false">
      <c r="A52" s="4" t="s">
        <v>926</v>
      </c>
      <c r="B52" s="4"/>
      <c r="C52" s="4" t="s">
        <v>927</v>
      </c>
    </row>
    <row r="53" customFormat="false" ht="15" hidden="false" customHeight="false" outlineLevel="0" collapsed="false">
      <c r="A53" s="4" t="s">
        <v>928</v>
      </c>
      <c r="B53" s="4"/>
      <c r="C53" s="4" t="s">
        <v>929</v>
      </c>
    </row>
    <row r="54" customFormat="false" ht="15" hidden="false" customHeight="false" outlineLevel="0" collapsed="false">
      <c r="A54" s="4" t="s">
        <v>930</v>
      </c>
      <c r="B54" s="4"/>
      <c r="C54" s="4" t="s">
        <v>931</v>
      </c>
    </row>
    <row r="55" customFormat="false" ht="15" hidden="false" customHeight="false" outlineLevel="0" collapsed="false">
      <c r="A55" s="4" t="s">
        <v>932</v>
      </c>
      <c r="B55" s="4"/>
      <c r="C55" s="4" t="s">
        <v>933</v>
      </c>
    </row>
    <row r="56" customFormat="false" ht="15" hidden="false" customHeight="false" outlineLevel="0" collapsed="false">
      <c r="A56" s="4" t="s">
        <v>934</v>
      </c>
      <c r="B56" s="4"/>
      <c r="C56" s="4" t="s">
        <v>935</v>
      </c>
    </row>
    <row r="58" customFormat="false" ht="15" hidden="false" customHeight="false" outlineLevel="0" collapsed="false">
      <c r="A58" s="5" t="s">
        <v>936</v>
      </c>
    </row>
    <row r="59" customFormat="false" ht="30" hidden="false" customHeight="true" outlineLevel="0" collapsed="false">
      <c r="A59" s="3" t="s">
        <v>877</v>
      </c>
      <c r="B59" s="3" t="s">
        <v>878</v>
      </c>
      <c r="C59" s="3"/>
    </row>
    <row r="60" customFormat="false" ht="15" hidden="false" customHeight="false" outlineLevel="0" collapsed="false">
      <c r="A60" s="4" t="s">
        <v>937</v>
      </c>
      <c r="B60" s="4" t="s">
        <v>578</v>
      </c>
      <c r="C60" s="4"/>
    </row>
    <row r="61" customFormat="false" ht="23.85" hidden="false" customHeight="false" outlineLevel="0" collapsed="false">
      <c r="A61" s="4" t="s">
        <v>536</v>
      </c>
      <c r="B61" s="4" t="s">
        <v>938</v>
      </c>
      <c r="C61" s="4"/>
    </row>
    <row r="62" customFormat="false" ht="23.85" hidden="false" customHeight="false" outlineLevel="0" collapsed="false">
      <c r="A62" s="4" t="s">
        <v>878</v>
      </c>
      <c r="B62" s="4" t="s">
        <v>939</v>
      </c>
      <c r="C62" s="4"/>
    </row>
    <row r="63" customFormat="false" ht="23.85" hidden="false" customHeight="false" outlineLevel="0" collapsed="false">
      <c r="A63" s="4" t="s">
        <v>882</v>
      </c>
      <c r="B63" s="4" t="s">
        <v>940</v>
      </c>
      <c r="C63" s="4"/>
    </row>
    <row r="64" customFormat="false" ht="15" hidden="false" customHeight="false" outlineLevel="0" collapsed="false">
      <c r="A64" s="4" t="s">
        <v>539</v>
      </c>
      <c r="B64" s="4" t="s">
        <v>941</v>
      </c>
      <c r="C64" s="4"/>
    </row>
    <row r="65" customFormat="false" ht="15" hidden="false" customHeight="false" outlineLevel="0" collapsed="false">
      <c r="A65" s="4" t="s">
        <v>942</v>
      </c>
      <c r="B65" s="4" t="s">
        <v>905</v>
      </c>
      <c r="C65" s="4"/>
    </row>
    <row r="66" customFormat="false" ht="15" hidden="false" customHeight="false" outlineLevel="0" collapsed="false">
      <c r="A66" s="4" t="s">
        <v>890</v>
      </c>
      <c r="B66" s="4" t="s">
        <v>905</v>
      </c>
      <c r="C66" s="4"/>
    </row>
    <row r="67" customFormat="false" ht="15" hidden="false" customHeight="false" outlineLevel="0" collapsed="false">
      <c r="A67" s="4" t="s">
        <v>879</v>
      </c>
      <c r="B67" s="4" t="s">
        <v>897</v>
      </c>
      <c r="C67" s="4"/>
    </row>
    <row r="69" customFormat="false" ht="15" hidden="false" customHeight="false" outlineLevel="0" collapsed="false">
      <c r="A69" s="5" t="s">
        <v>943</v>
      </c>
    </row>
    <row r="70" customFormat="false" ht="30" hidden="false" customHeight="true" outlineLevel="0" collapsed="false">
      <c r="A70" s="3" t="s">
        <v>877</v>
      </c>
      <c r="B70" s="3" t="s">
        <v>878</v>
      </c>
      <c r="C70" s="3"/>
    </row>
    <row r="71" customFormat="false" ht="35.05" hidden="false" customHeight="false" outlineLevel="0" collapsed="false">
      <c r="A71" s="4" t="s">
        <v>944</v>
      </c>
      <c r="B71" s="4" t="s">
        <v>945</v>
      </c>
      <c r="C71" s="4"/>
    </row>
    <row r="72" customFormat="false" ht="15" hidden="false" customHeight="false" outlineLevel="0" collapsed="false">
      <c r="A72" s="4" t="s">
        <v>946</v>
      </c>
      <c r="B72" s="4" t="s">
        <v>947</v>
      </c>
      <c r="C72" s="4"/>
    </row>
    <row r="73" customFormat="false" ht="15" hidden="false" customHeight="false" outlineLevel="0" collapsed="false">
      <c r="A73" s="4" t="s">
        <v>464</v>
      </c>
      <c r="B73" s="4" t="s">
        <v>948</v>
      </c>
      <c r="C73" s="4"/>
    </row>
    <row r="74" customFormat="false" ht="15" hidden="false" customHeight="false" outlineLevel="0" collapsed="false">
      <c r="A74" s="4" t="s">
        <v>32</v>
      </c>
      <c r="B74" s="4" t="s">
        <v>888</v>
      </c>
      <c r="C74" s="4"/>
    </row>
    <row r="75" customFormat="false" ht="15" hidden="false" customHeight="false" outlineLevel="0" collapsed="false">
      <c r="A75" s="4" t="s">
        <v>48</v>
      </c>
      <c r="B75" s="4" t="s">
        <v>949</v>
      </c>
      <c r="C75" s="4"/>
    </row>
    <row r="76" customFormat="false" ht="15" hidden="false" customHeight="false" outlineLevel="0" collapsed="false">
      <c r="A76" s="4" t="s">
        <v>904</v>
      </c>
      <c r="B76" s="4" t="s">
        <v>950</v>
      </c>
      <c r="C76" s="4"/>
    </row>
    <row r="77" customFormat="false" ht="15" hidden="false" customHeight="false" outlineLevel="0" collapsed="false">
      <c r="A77" s="4" t="s">
        <v>951</v>
      </c>
      <c r="B77" s="4" t="s">
        <v>905</v>
      </c>
      <c r="C77" s="4"/>
    </row>
    <row r="78" customFormat="false" ht="23.85" hidden="false" customHeight="false" outlineLevel="0" collapsed="false">
      <c r="A78" s="4" t="s">
        <v>625</v>
      </c>
      <c r="B78" s="4" t="s">
        <v>952</v>
      </c>
      <c r="C78" s="4"/>
    </row>
    <row r="79" customFormat="false" ht="23.85" hidden="false" customHeight="false" outlineLevel="0" collapsed="false">
      <c r="A79" s="4" t="s">
        <v>953</v>
      </c>
      <c r="B79" s="4" t="s">
        <v>954</v>
      </c>
      <c r="C79" s="4"/>
    </row>
    <row r="80" customFormat="false" ht="15" hidden="false" customHeight="false" outlineLevel="0" collapsed="false">
      <c r="A80" s="4" t="s">
        <v>955</v>
      </c>
      <c r="B80" s="4" t="s">
        <v>956</v>
      </c>
      <c r="C80" s="4"/>
    </row>
    <row r="81" customFormat="false" ht="15" hidden="false" customHeight="false" outlineLevel="0" collapsed="false">
      <c r="A81" s="4" t="s">
        <v>957</v>
      </c>
      <c r="B81" s="4" t="s">
        <v>905</v>
      </c>
      <c r="C81" s="4"/>
    </row>
    <row r="82" customFormat="false" ht="15" hidden="false" customHeight="false" outlineLevel="0" collapsed="false">
      <c r="A82" s="4" t="s">
        <v>958</v>
      </c>
      <c r="B82" s="4" t="s">
        <v>578</v>
      </c>
      <c r="C82" s="4"/>
    </row>
    <row r="83" customFormat="false" ht="15" hidden="false" customHeight="false" outlineLevel="0" collapsed="false">
      <c r="A83" s="4" t="s">
        <v>959</v>
      </c>
      <c r="B83" s="4" t="s">
        <v>897</v>
      </c>
      <c r="C83" s="4"/>
    </row>
    <row r="84" customFormat="false" ht="15" hidden="false" customHeight="false" outlineLevel="0" collapsed="false">
      <c r="A84" s="4" t="s">
        <v>960</v>
      </c>
      <c r="B84" s="4" t="s">
        <v>961</v>
      </c>
      <c r="C84" s="4"/>
    </row>
    <row r="85" customFormat="false" ht="15" hidden="false" customHeight="false" outlineLevel="0" collapsed="false">
      <c r="A85" s="4" t="s">
        <v>962</v>
      </c>
      <c r="B85" s="4" t="s">
        <v>961</v>
      </c>
      <c r="C85" s="4"/>
    </row>
    <row r="87" customFormat="false" ht="30" hidden="false" customHeight="true" outlineLevel="0" collapsed="false">
      <c r="A87" s="3" t="s">
        <v>963</v>
      </c>
      <c r="B87" s="3"/>
      <c r="C87" s="3" t="s">
        <v>919</v>
      </c>
    </row>
    <row r="88" customFormat="false" ht="23.85" hidden="false" customHeight="false" outlineLevel="0" collapsed="false">
      <c r="A88" s="4" t="s">
        <v>964</v>
      </c>
      <c r="B88" s="4"/>
      <c r="C88" s="4" t="s">
        <v>965</v>
      </c>
    </row>
    <row r="89" customFormat="false" ht="15" hidden="false" customHeight="false" outlineLevel="0" collapsed="false">
      <c r="A89" s="4" t="s">
        <v>966</v>
      </c>
      <c r="B89" s="4"/>
      <c r="C89" s="4" t="s">
        <v>967</v>
      </c>
    </row>
    <row r="90" customFormat="false" ht="15" hidden="false" customHeight="false" outlineLevel="0" collapsed="false">
      <c r="A90" s="4" t="s">
        <v>968</v>
      </c>
      <c r="B90" s="4"/>
      <c r="C90" s="4" t="s">
        <v>969</v>
      </c>
    </row>
    <row r="92" customFormat="false" ht="15" hidden="false" customHeight="false" outlineLevel="0" collapsed="false">
      <c r="A92" s="5" t="s">
        <v>970</v>
      </c>
    </row>
    <row r="93" customFormat="false" ht="30" hidden="false" customHeight="true" outlineLevel="0" collapsed="false">
      <c r="A93" s="8" t="s">
        <v>971</v>
      </c>
      <c r="B93" s="8" t="s">
        <v>972</v>
      </c>
      <c r="C93" s="8" t="s">
        <v>973</v>
      </c>
    </row>
    <row r="94" customFormat="false" ht="57.45" hidden="false" customHeight="false" outlineLevel="0" collapsed="false">
      <c r="A94" s="4" t="s">
        <v>974</v>
      </c>
      <c r="B94" s="4" t="s">
        <v>975</v>
      </c>
      <c r="C94" s="4" t="s">
        <v>976</v>
      </c>
    </row>
    <row r="95" customFormat="false" ht="46.25" hidden="false" customHeight="false" outlineLevel="0" collapsed="false">
      <c r="A95" s="4" t="s">
        <v>977</v>
      </c>
      <c r="B95" s="4" t="s">
        <v>978</v>
      </c>
      <c r="C95" s="4" t="s">
        <v>979</v>
      </c>
    </row>
    <row r="96" customFormat="false" ht="57.45" hidden="false" customHeight="false" outlineLevel="0" collapsed="false">
      <c r="A96" s="4" t="s">
        <v>980</v>
      </c>
      <c r="B96" s="4" t="s">
        <v>981</v>
      </c>
      <c r="C96" s="4" t="s">
        <v>982</v>
      </c>
    </row>
    <row r="97" customFormat="false" ht="46.25" hidden="false" customHeight="false" outlineLevel="0" collapsed="false">
      <c r="A97" s="4" t="s">
        <v>983</v>
      </c>
      <c r="B97" s="4" t="s">
        <v>984</v>
      </c>
      <c r="C97" s="4" t="s">
        <v>985</v>
      </c>
    </row>
    <row r="98" customFormat="false" ht="35.05" hidden="false" customHeight="false" outlineLevel="0" collapsed="false">
      <c r="A98" s="4" t="s">
        <v>986</v>
      </c>
      <c r="B98" s="4" t="s">
        <v>987</v>
      </c>
      <c r="C98" s="4" t="s">
        <v>988</v>
      </c>
    </row>
    <row r="99" customFormat="false" ht="23.85" hidden="false" customHeight="false" outlineLevel="0" collapsed="false">
      <c r="A99" s="4" t="s">
        <v>989</v>
      </c>
      <c r="B99" s="4" t="s">
        <v>990</v>
      </c>
      <c r="C99" s="4" t="s">
        <v>991</v>
      </c>
    </row>
    <row r="100" customFormat="false" ht="35.05" hidden="false" customHeight="false" outlineLevel="0" collapsed="false">
      <c r="A100" s="4" t="s">
        <v>992</v>
      </c>
      <c r="B100" s="4" t="s">
        <v>993</v>
      </c>
      <c r="C100" s="4" t="s">
        <v>994</v>
      </c>
    </row>
    <row r="101" customFormat="false" ht="35.05" hidden="false" customHeight="false" outlineLevel="0" collapsed="false">
      <c r="A101" s="4" t="s">
        <v>995</v>
      </c>
      <c r="B101" s="4" t="s">
        <v>996</v>
      </c>
      <c r="C101" s="4" t="s">
        <v>997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E7D7A"/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7"/>
    <col collapsed="false" customWidth="true" hidden="false" outlineLevel="0" max="3" min="3" style="0" width="38"/>
    <col collapsed="false" customWidth="true" hidden="false" outlineLevel="0" max="4" min="4" style="0" width="9"/>
    <col collapsed="false" customWidth="true" hidden="false" outlineLevel="0" max="5" min="5" style="0" width="34"/>
    <col collapsed="false" customWidth="true" hidden="false" outlineLevel="0" max="6" min="6" style="0" width="8"/>
    <col collapsed="false" customWidth="true" hidden="false" outlineLevel="0" max="7" min="7" style="0" width="32"/>
  </cols>
  <sheetData>
    <row r="1" customFormat="false" ht="17.35" hidden="false" customHeight="false" outlineLevel="0" collapsed="false">
      <c r="A1" s="1" t="s">
        <v>998</v>
      </c>
    </row>
    <row r="2" customFormat="false" ht="15" hidden="false" customHeight="false" outlineLevel="0" collapsed="false">
      <c r="A2" s="2" t="s">
        <v>999</v>
      </c>
    </row>
    <row r="4" customFormat="false" ht="30" hidden="false" customHeight="true" outlineLevel="0" collapsed="false">
      <c r="A4" s="3" t="s">
        <v>1000</v>
      </c>
      <c r="B4" s="3" t="s">
        <v>1001</v>
      </c>
      <c r="C4" s="3" t="s">
        <v>862</v>
      </c>
      <c r="D4" s="3" t="s">
        <v>1002</v>
      </c>
      <c r="E4" s="3" t="s">
        <v>1003</v>
      </c>
      <c r="F4" s="3" t="s">
        <v>1004</v>
      </c>
      <c r="G4" s="3" t="s">
        <v>1004</v>
      </c>
    </row>
    <row r="5" customFormat="false" ht="15" hidden="false" customHeight="false" outlineLevel="0" collapsed="false">
      <c r="A5" s="4" t="s">
        <v>1005</v>
      </c>
      <c r="B5" s="15" t="n">
        <v>2</v>
      </c>
      <c r="C5" s="4" t="s">
        <v>1006</v>
      </c>
      <c r="D5" s="15" t="n">
        <v>2</v>
      </c>
      <c r="E5" s="4" t="s">
        <v>1007</v>
      </c>
      <c r="F5" s="15" t="n">
        <v>1</v>
      </c>
      <c r="G5" s="4" t="s">
        <v>1008</v>
      </c>
    </row>
    <row r="6" customFormat="false" ht="15" hidden="false" customHeight="false" outlineLevel="0" collapsed="false">
      <c r="A6" s="4" t="s">
        <v>1009</v>
      </c>
      <c r="B6" s="15" t="n">
        <v>2</v>
      </c>
      <c r="C6" s="4" t="s">
        <v>1010</v>
      </c>
      <c r="D6" s="15" t="n">
        <v>1</v>
      </c>
      <c r="E6" s="4" t="s">
        <v>1011</v>
      </c>
      <c r="F6" s="15" t="n">
        <v>1</v>
      </c>
      <c r="G6" s="4" t="s">
        <v>1012</v>
      </c>
    </row>
    <row r="7" customFormat="false" ht="15" hidden="false" customHeight="false" outlineLevel="0" collapsed="false">
      <c r="A7" s="4" t="s">
        <v>1013</v>
      </c>
      <c r="B7" s="15" t="n">
        <v>2</v>
      </c>
      <c r="C7" s="4" t="s">
        <v>1014</v>
      </c>
      <c r="D7" s="15" t="n">
        <v>2</v>
      </c>
      <c r="E7" s="4" t="s">
        <v>1015</v>
      </c>
      <c r="F7" s="15" t="n">
        <v>0</v>
      </c>
      <c r="G7" s="4" t="s">
        <v>1016</v>
      </c>
    </row>
    <row r="8" customFormat="false" ht="15" hidden="false" customHeight="false" outlineLevel="0" collapsed="false">
      <c r="A8" s="4" t="s">
        <v>1017</v>
      </c>
      <c r="B8" s="15" t="n">
        <v>2</v>
      </c>
      <c r="C8" s="4" t="s">
        <v>1018</v>
      </c>
      <c r="D8" s="15" t="n">
        <v>1</v>
      </c>
      <c r="E8" s="4" t="s">
        <v>1019</v>
      </c>
      <c r="F8" s="15" t="n">
        <v>1</v>
      </c>
      <c r="G8" s="4" t="s">
        <v>1019</v>
      </c>
    </row>
    <row r="9" customFormat="false" ht="15" hidden="false" customHeight="false" outlineLevel="0" collapsed="false">
      <c r="A9" s="4" t="s">
        <v>1020</v>
      </c>
      <c r="B9" s="15" t="n">
        <v>0</v>
      </c>
      <c r="C9" s="4" t="s">
        <v>1021</v>
      </c>
      <c r="D9" s="15" t="n">
        <v>2</v>
      </c>
      <c r="E9" s="4" t="s">
        <v>1022</v>
      </c>
      <c r="F9" s="15" t="n">
        <v>1</v>
      </c>
      <c r="G9" s="4" t="s">
        <v>1022</v>
      </c>
    </row>
    <row r="10" customFormat="false" ht="15" hidden="false" customHeight="false" outlineLevel="0" collapsed="false">
      <c r="A10" s="4" t="s">
        <v>1023</v>
      </c>
      <c r="B10" s="15" t="n">
        <v>2</v>
      </c>
      <c r="C10" s="4" t="s">
        <v>1024</v>
      </c>
      <c r="D10" s="15" t="n">
        <v>0</v>
      </c>
      <c r="E10" s="4" t="s">
        <v>1025</v>
      </c>
      <c r="F10" s="15" t="n">
        <v>2</v>
      </c>
      <c r="G10" s="4" t="s">
        <v>1026</v>
      </c>
    </row>
    <row r="11" customFormat="false" ht="15" hidden="false" customHeight="false" outlineLevel="0" collapsed="false">
      <c r="A11" s="4" t="s">
        <v>1027</v>
      </c>
      <c r="B11" s="15" t="n">
        <v>0</v>
      </c>
      <c r="C11" s="4" t="s">
        <v>1028</v>
      </c>
      <c r="D11" s="15" t="n">
        <v>2</v>
      </c>
      <c r="E11" s="4" t="s">
        <v>1029</v>
      </c>
      <c r="F11" s="15" t="n">
        <v>2</v>
      </c>
      <c r="G11" s="4" t="s">
        <v>1029</v>
      </c>
    </row>
    <row r="12" customFormat="false" ht="15" hidden="false" customHeight="false" outlineLevel="0" collapsed="false">
      <c r="A12" s="19" t="s">
        <v>1030</v>
      </c>
      <c r="B12" s="20" t="n">
        <f aca="false">SUM(B5:B11)</f>
        <v>10</v>
      </c>
      <c r="C12" s="19"/>
      <c r="D12" s="20" t="n">
        <f aca="false">SUM(D5:D11)</f>
        <v>10</v>
      </c>
      <c r="E12" s="19"/>
      <c r="F12" s="20" t="n">
        <f aca="false">SUM(F5:F11)</f>
        <v>8</v>
      </c>
      <c r="G12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2026-10-29T00:26:21Z</dcterms:created>
  <dc:creator>openpyxl</dc:creator>
  <dc:description/>
  <dc:language>en-US</dc:language>
  <cp:lastModifiedBy/>
  <dcterms:modified xsi:type="dcterms:W3CDTF">2026-10-29T00:26:21Z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