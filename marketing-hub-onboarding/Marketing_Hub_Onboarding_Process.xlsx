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2.xml.rels" ContentType="application/vnd.openxmlformats-package.relationships+xml"/>
  <Override PartName="/xl/worksheets/_rels/sheet6.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_rels/sheet10.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Decisions" sheetId="2" state="visible" r:id="rId4"/>
    <sheet name="Roadmap" sheetId="3" state="visible" r:id="rId5"/>
    <sheet name="Journey" sheetId="4" state="visible" r:id="rId6"/>
    <sheet name="Task Template" sheetId="5" state="visible" r:id="rId7"/>
    <sheet name="Progress Measures" sheetId="6" state="visible" r:id="rId8"/>
    <sheet name="Requests" sheetId="7" state="visible" r:id="rId9"/>
    <sheet name="After the Program" sheetId="8" state="visible" r:id="rId10"/>
    <sheet name="Intake Form" sheetId="9" state="visible" r:id="rId11"/>
    <sheet name="Tech Setup" sheetId="10" state="visible" r:id="rId12"/>
    <sheet name="Training" sheetId="11" state="visible" r:id="rId13"/>
    <sheet name="Comms" sheetId="12" state="visible" r:id="rId14"/>
    <sheet name="HubSpot Work Setup" sheetId="13" state="visible" r:id="rId15"/>
    <sheet name="Tool Fit" sheetId="14" state="visible" r:id="rId16"/>
  </sheets>
  <definedNames>
    <definedName function="false" hidden="true" localSheetId="7" name="_xlnm._FilterDatabase" vbProcedure="false">'After the Program'!$A$4:$C$8</definedName>
    <definedName function="false" hidden="true" localSheetId="11" name="_xlnm._FilterDatabase" vbProcedure="false">Comms!$A$4:$E$17</definedName>
    <definedName function="false" hidden="true" localSheetId="8" name="_xlnm._FilterDatabase" vbProcedure="false">'Intake Form'!$A$4:$G$37</definedName>
    <definedName function="false" hidden="true" localSheetId="5" name="_xlnm._FilterDatabase" vbProcedure="false">'Progress Measures'!$A$4:$F$17</definedName>
    <definedName function="false" hidden="true" localSheetId="4" name="_xlnm._FilterDatabase" vbProcedure="false">'Task Template'!$A$6:$M$105</definedName>
    <definedName function="false" hidden="true" localSheetId="9" name="_xlnm._FilterDatabase" vbProcedure="false">'Tech Setup'!$A$4:$F$83</definedName>
    <definedName function="false" hidden="true" localSheetId="10" name="_xlnm._FilterDatabase" vbProcedure="false">Training!$A$4:$F$23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<sst xmlns="http://schemas.openxmlformats.org/spreadsheetml/2006/main" count="2687" uniqueCount="1493">
  <si>
    <t xml:space="preserve">RevGravy · Marketing Hub Onboarding Process (v2)</t>
  </si>
  <si>
    <t xml:space="preserve">Built from the FigJam session and the answers from review. Day 0 = deal reaches 'Start Payment Received'. Programs run 60–90 days; the plan is laid out for 90.</t>
  </si>
  <si>
    <t xml:space="preserve">Tab</t>
  </si>
  <si>
    <t xml:space="preserve">What's in it</t>
  </si>
  <si>
    <t xml:space="preserve">Decisions</t>
  </si>
  <si>
    <t xml:space="preserve">Your answers, what each one changed, and the scope limits.</t>
  </si>
  <si>
    <t xml:space="preserve">Roadmap</t>
  </si>
  <si>
    <t xml:space="preserve">Phases on a week-by-week timeline, mapped to the FigJam stickies.</t>
  </si>
  <si>
    <t xml:space="preserve">Journey</t>
  </si>
  <si>
    <t xml:space="preserve">Start to end, lane by lane (customer, Phil, Architect, Ops, HubSpot Work), with when to mark tasks Done.</t>
  </si>
  <si>
    <t xml:space="preserve">Task Template</t>
  </si>
  <si>
    <t xml:space="preserve">Every task by section. Set Program length (60–90) at the top and the due days compress.</t>
  </si>
  <si>
    <t xml:space="preserve">Progress Measures</t>
  </si>
  <si>
    <t xml:space="preserve">The standard progress measures (Factories) every Marketing Hub program builds.</t>
  </si>
  <si>
    <t xml:space="preserve">Requests</t>
  </si>
  <si>
    <t xml:space="preserve">How $250 requests work and the urgency classes.</t>
  </si>
  <si>
    <t xml:space="preserve">After the Program</t>
  </si>
  <si>
    <t xml:space="preserve">6 months of free KPI monitoring and the paid offers.</t>
  </si>
  <si>
    <t xml:space="preserve">Intake Form</t>
  </si>
  <si>
    <t xml:space="preserve">What we ask the customer after the sale.</t>
  </si>
  <si>
    <t xml:space="preserve">Tech Setup</t>
  </si>
  <si>
    <t xml:space="preserve">Marketing Hub Pro &amp; Enterprise setup checklist; each item belongs to a task.</t>
  </si>
  <si>
    <t xml:space="preserve">Training</t>
  </si>
  <si>
    <t xml:space="preserve">Training modules by audience and timing.</t>
  </si>
  <si>
    <t xml:space="preserve">Comms</t>
  </si>
  <si>
    <t xml:space="preserve">Every customer touchpoint, including the weekly update outline.</t>
  </si>
  <si>
    <t xml:space="preserve">HubSpot Work Setup</t>
  </si>
  <si>
    <t xml:space="preserve">What to build in HubSpot Work: new-customer steps, task columns, board, views, requests, Customers table, agents.</t>
  </si>
  <si>
    <t xml:space="preserve">Tool Fit</t>
  </si>
  <si>
    <t xml:space="preserve">The Work vs Projects vs Tickets comparison (decision: HubSpot Work only).</t>
  </si>
  <si>
    <t xml:space="preserve">Role</t>
  </si>
  <si>
    <t xml:space="preserve">Responsibility</t>
  </si>
  <si>
    <t xml:space="preserve">Phil</t>
  </si>
  <si>
    <t xml:space="preserve">Strategy lead through the sale and the handoff. Picks the Architect based on capacity. Reviews next-phase options.</t>
  </si>
  <si>
    <t xml:space="preserve">Architect</t>
  </si>
  <si>
    <t xml:space="preserve">Takes over as strategy lead after the handoff. Owns delivery, weekly updates, office hours, MBRs and the 'what's next' call.</t>
  </si>
  <si>
    <t xml:space="preserve">Ops</t>
  </si>
  <si>
    <t xml:space="preserve">RevGravy operations. Owns the templates, Supered setup and the welcome emails.</t>
  </si>
  <si>
    <t xml:space="preserve">Client POC</t>
  </si>
  <si>
    <t xml:space="preserve">Main point of contact at the customer. Owns approvals, access and client to-dos.</t>
  </si>
  <si>
    <t xml:space="preserve">Legend</t>
  </si>
  <si>
    <t xml:space="preserve">Yellow cell</t>
  </si>
  <si>
    <t xml:space="preserve">Edit me: inputs and answers.</t>
  </si>
  <si>
    <t xml:space="preserve">■ bars</t>
  </si>
  <si>
    <t xml:space="preserve">Formulas on the Start/End day columns. Change the days and the bars move.</t>
  </si>
  <si>
    <t xml:space="preserve">Answers from the review and what each one changed. Open questions at the bottom: answer in yellow.</t>
  </si>
  <si>
    <t xml:space="preserve">#</t>
  </si>
  <si>
    <t xml:space="preserve">Topic</t>
  </si>
  <si>
    <t xml:space="preserve">Answer</t>
  </si>
  <si>
    <t xml:space="preserve">What changed</t>
  </si>
  <si>
    <t xml:space="preserve">Program length</t>
  </si>
  <si>
    <t xml:space="preserve">60 to 90 days.</t>
  </si>
  <si>
    <t xml:space="preserve">The plan is laid out for 90 days. Each customer has a Program length on their Customers row; later due dates compress to fit 60 or 75 days.</t>
  </si>
  <si>
    <t xml:space="preserve">Hub tiers</t>
  </si>
  <si>
    <t xml:space="preserve">Marketing Hub Professional and Enterprise.</t>
  </si>
  <si>
    <t xml:space="preserve">Starter removed. Setup items are tagged 'Pro &amp; Ent' or 'Ent only'.</t>
  </si>
  <si>
    <t xml:space="preserve">Strategy lead</t>
  </si>
  <si>
    <t xml:space="preserve">Phil leads through the sale, then the Architect takes over.</t>
  </si>
  <si>
    <t xml:space="preserve">Architect owns MBRs, weekly updates, strategy and the 'what's next' call after the handoff. Phil reviews the next-phase options.</t>
  </si>
  <si>
    <t xml:space="preserve">Picking the Architect</t>
  </si>
  <si>
    <t xml:space="preserve">Phil decides, based on capacity.</t>
  </si>
  <si>
    <t xml:space="preserve">Capacity report in the Onboarding Portfolio (active customers per Architect).</t>
  </si>
  <si>
    <t xml:space="preserve">HubSpot Work beta</t>
  </si>
  <si>
    <t xml:space="preserve">Enrolled.</t>
  </si>
  <si>
    <t xml:space="preserve">Build in HubSpot Work now.</t>
  </si>
  <si>
    <t xml:space="preserve">Where onboarding lives</t>
  </si>
  <si>
    <t xml:space="preserve">Only in HubSpot Work.</t>
  </si>
  <si>
    <t xml:space="preserve">No Projects pipeline and no tickets for onboarding. Tasks, board and requests all live in Work.</t>
  </si>
  <si>
    <t xml:space="preserve">Client-facing place</t>
  </si>
  <si>
    <t xml:space="preserve">Supered.</t>
  </si>
  <si>
    <t xml:space="preserve">No HubSpot customer portal. Everything the customer sees is in Supered.</t>
  </si>
  <si>
    <t xml:space="preserve">Progress measures (Factories)</t>
  </si>
  <si>
    <t xml:space="preserve">Use the suggestion.</t>
  </si>
  <si>
    <t xml:space="preserve">Marketing Hub: 0.1, 1.1, 1.2, 1.3, plus 1.0 and 1.4 when bought. Sales Hub: 2.1, 2.2, 3.2, plus 3.1. Service Hub: 4.1, 4.2, plus 4.3.</t>
  </si>
  <si>
    <t xml:space="preserve">$250 requests</t>
  </si>
  <si>
    <t xml:space="preserve">Per request. Urgency classes not defined yet.</t>
  </si>
  <si>
    <t xml:space="preserve">Recommended classes added: Critical, High, Standard, Not now.</t>
  </si>
  <si>
    <t xml:space="preserve">Migrations &amp; website work</t>
  </si>
  <si>
    <t xml:space="preserve">In scope.</t>
  </si>
  <si>
    <t xml:space="preserve">Migration and website tasks added to Foundations and Build &amp; launch, with suggested limits.</t>
  </si>
  <si>
    <t xml:space="preserve">Post-program offers</t>
  </si>
  <si>
    <t xml:space="preserve">Free for 6 months. Contents not defined yet.</t>
  </si>
  <si>
    <t xml:space="preserve">Suggested contents for the free KPI monitoring and the three paid offers.</t>
  </si>
  <si>
    <t xml:space="preserve">'What's next' call</t>
  </si>
  <si>
    <t xml:space="preserve">The Architect runs it.</t>
  </si>
  <si>
    <t xml:space="preserve">Tasks 8.02, 8.03 and 9.04 owned by the Architect; Phil reviews the options in 8.01.</t>
  </si>
  <si>
    <t xml:space="preserve">Suggestions from review</t>
  </si>
  <si>
    <t xml:space="preserve">Approved: urgency classes, 2-hour request size, migration and website limits, standard progress measures, $1,670/mo Monthly Plan for team support.</t>
  </si>
  <si>
    <t xml:space="preserve">Applied as written.</t>
  </si>
  <si>
    <t xml:space="preserve">Agents</t>
  </si>
  <si>
    <t xml:space="preserve">HubSpot Work can build agents.</t>
  </si>
  <si>
    <t xml:space="preserve">8 agents added. They only draft, fill dates or flag; none sends anything to a customer.</t>
  </si>
  <si>
    <t xml:space="preserve">Agent schedules</t>
  </si>
  <si>
    <t xml:space="preserve">Bogotá time.</t>
  </si>
  <si>
    <t xml:space="preserve">Every scheduled agent runs on America/Bogota time.</t>
  </si>
  <si>
    <t xml:space="preserve">Creating a customer's tasks</t>
  </si>
  <si>
    <t xml:space="preserve">Products purchased + a Create tasks checkbox.</t>
  </si>
  <si>
    <t xml:space="preserve">Ops picks the products and ticks Create tasks. The Task Generator agent copies the Core tasks once plus one module per hub, and records which hubs are done in Tasks created for.</t>
  </si>
  <si>
    <t xml:space="preserve">Task library</t>
  </si>
  <si>
    <t xml:space="preserve">Marketing, Sales and Service Hub onboarding.</t>
  </si>
  <si>
    <t xml:space="preserve">One Task Library: Core tasks every customer gets (58) plus a module per hub: Marketing Hub (MH-, 16), Sales Hub (SH-, 14), Service Hub (SV-, 11).</t>
  </si>
  <si>
    <t xml:space="preserve">Day 0</t>
  </si>
  <si>
    <t xml:space="preserve">The day the deal reaches Start Payment Received.</t>
  </si>
  <si>
    <t xml:space="preserve">Not the kickoff date. Kickoff happens on Days 5–10.</t>
  </si>
  <si>
    <t xml:space="preserve">Update statuses</t>
  </si>
  <si>
    <t xml:space="preserve">Draft, Reviewed, Sent.</t>
  </si>
  <si>
    <t xml:space="preserve">An agent writes Draft; the Architect sets Reviewed, and Sent once it goes to the customer.</t>
  </si>
  <si>
    <t xml:space="preserve">Request handling</t>
  </si>
  <si>
    <t xml:space="preserve">Owner column, USD, reply times.</t>
  </si>
  <si>
    <t xml:space="preserve">Each request has an Owner (default: the customer's Architect). Price is USD. High and Standard get a reply within 1 business day.</t>
  </si>
  <si>
    <t xml:space="preserve">HubSpot Work limits (found in the build)</t>
  </si>
  <si>
    <t xml:space="preserve">No custom project fields; copies of a project don't carry agent workflows.</t>
  </si>
  <si>
    <t xml:space="preserve">All customers share the Customer Task, Request and Update tables, each row linked to its Customers row. The template project's Tasks table is the master list the Task Generator copies from.</t>
  </si>
  <si>
    <t xml:space="preserve">Scope limits for migration and website work (suggested)</t>
  </si>
  <si>
    <t xml:space="preserve">Area</t>
  </si>
  <si>
    <t xml:space="preserve">Limit</t>
  </si>
  <si>
    <t xml:space="preserve">Migration</t>
  </si>
  <si>
    <t xml:space="preserve">One previous email/marketing tool (e.g. Mailchimp): lists with consent and unsubscribes, up to 5 email templates, and the automations that are active today.</t>
  </si>
  <si>
    <t xml:space="preserve">Website</t>
  </si>
  <si>
    <t xml:space="preserve">Connect the current website (tracking, forms, CTAs, chat, meetings), landing page and blog templates, up to 10 landing pages, blog import. A full website rebuild is a separate project.</t>
  </si>
  <si>
    <t xml:space="preserve">Still open</t>
  </si>
  <si>
    <t xml:space="preserve">Nothing open. Every question has been answered.</t>
  </si>
  <si>
    <t xml:space="preserve">90-day plan. Grey numbers above the weeks are each week's day range.</t>
  </si>
  <si>
    <t xml:space="preserve">Phase</t>
  </si>
  <si>
    <t xml:space="preserve">Name</t>
  </si>
  <si>
    <t xml:space="preserve">FigJam stage(s)</t>
  </si>
  <si>
    <t xml:space="preserve">Start day</t>
  </si>
  <si>
    <t xml:space="preserve">End day</t>
  </si>
  <si>
    <t xml:space="preserve">Goal</t>
  </si>
  <si>
    <t xml:space="preserve">What the client sees</t>
  </si>
  <si>
    <t xml:space="preserve">Done when</t>
  </si>
  <si>
    <t xml:space="preserve">Pre</t>
  </si>
  <si>
    <t xml:space="preserve">W0</t>
  </si>
  <si>
    <t xml:space="preserve">W1</t>
  </si>
  <si>
    <t xml:space="preserve">W2</t>
  </si>
  <si>
    <t xml:space="preserve">W3</t>
  </si>
  <si>
    <t xml:space="preserve">W4</t>
  </si>
  <si>
    <t xml:space="preserve">W5</t>
  </si>
  <si>
    <t xml:space="preserve">W6</t>
  </si>
  <si>
    <t xml:space="preserve">W7</t>
  </si>
  <si>
    <t xml:space="preserve">W8</t>
  </si>
  <si>
    <t xml:space="preserve">W9</t>
  </si>
  <si>
    <t xml:space="preserve">W10</t>
  </si>
  <si>
    <t xml:space="preserve">W11</t>
  </si>
  <si>
    <t xml:space="preserve">W12</t>
  </si>
  <si>
    <t xml:space="preserve">After</t>
  </si>
  <si>
    <t xml:space="preserve">P0</t>
  </si>
  <si>
    <t xml:space="preserve">Handoff checklist</t>
  </si>
  <si>
    <t xml:space="preserve">New Lead → VSL → Fit/Discovery → Assess Tech Stack → Video → Recommendation → Closing Call</t>
  </si>
  <si>
    <t xml:space="preserve">Everything the Architect needs is on the deal before the customer pays (Definition of Ready).</t>
  </si>
  <si>
    <t xml:space="preserve">VSL, recommendation video, proposal Q&amp;A, quote, agreement.</t>
  </si>
  <si>
    <t xml:space="preserve">Deal has FigJam link, From→To statement, products, progress measures, survey, POC and supporters, signed agreement.</t>
  </si>
  <si>
    <t xml:space="preserve">P1</t>
  </si>
  <si>
    <t xml:space="preserve">Close &amp; welcome</t>
  </si>
  <si>
    <t xml:space="preserve">Paid &amp; Agreement Signed</t>
  </si>
  <si>
    <t xml:space="preserve">The customer feels the handoff right away; the Architect is picked and briefed within 72 hours.</t>
  </si>
  <si>
    <t xml:space="preserve">Welcome email series with the Supered Action Plan (expectations, next steps, links, agreement, to-dos).</t>
  </si>
  <si>
    <t xml:space="preserve">Architect assigned, Phil↔Architect 1:1 done, customer added in HubSpot Work with tasks created, kickoff booked.</t>
  </si>
  <si>
    <t xml:space="preserve">P2</t>
  </si>
  <si>
    <t xml:space="preserve">Access &amp; intake</t>
  </si>
  <si>
    <t xml:space="preserve">HS Access / Form / Trello</t>
  </si>
  <si>
    <t xml:space="preserve">Every access and input we need arrives in week 1. No Trello.</t>
  </si>
  <si>
    <t xml:space="preserve">Supered announcement on how we deliver updates and documentation; one short intake form.</t>
  </si>
  <si>
    <t xml:space="preserve">Portal access granted, intake submitted, audit and baseline numbers captured.</t>
  </si>
  <si>
    <t xml:space="preserve">P3</t>
  </si>
  <si>
    <t xml:space="preserve">Kickoff</t>
  </si>
  <si>
    <t xml:space="preserve">Kickoff Session 15 min</t>
  </si>
  <si>
    <t xml:space="preserve">15 minutes that confirm the plan, close gaps and set the rhythm.</t>
  </si>
  <si>
    <t xml:space="preserve">Architect + team intro, confirmed plan, office hours and MBRs explained and booked.</t>
  </si>
  <si>
    <t xml:space="preserve">Plan confirmed, missing items owned, MBRs on calendars, recap sent within 24h.</t>
  </si>
  <si>
    <t xml:space="preserve">P4</t>
  </si>
  <si>
    <t xml:space="preserve">Foundations</t>
  </si>
  <si>
    <t xml:space="preserve">Delivery Template → technical setup</t>
  </si>
  <si>
    <t xml:space="preserve">Marketing Hub set up correctly: tracking, domains, email, data, migration, website connection, baseline dashboard.</t>
  </si>
  <si>
    <t xml:space="preserve">Supered video announcements as foundation items finish; weekly updates.</t>
  </si>
  <si>
    <t xml:space="preserve">Foundation QA passed, old data migrated, baseline dashboard live.</t>
  </si>
  <si>
    <t xml:space="preserve">P5</t>
  </si>
  <si>
    <t xml:space="preserve">Build &amp; launch</t>
  </si>
  <si>
    <t xml:space="preserve">Tactical outcomes / Factories (progress measures)</t>
  </si>
  <si>
    <t xml:space="preserve">Build each progress measure the customer bought and get it live.</t>
  </si>
  <si>
    <t xml:space="preserve">A Supered video per delivery, sign-off requests, numbers moving in weekly updates.</t>
  </si>
  <si>
    <t xml:space="preserve">Every progress measure is live, approved by the client and reporting.</t>
  </si>
  <si>
    <t xml:space="preserve">P6</t>
  </si>
  <si>
    <t xml:space="preserve">Training &amp; adoption</t>
  </si>
  <si>
    <t xml:space="preserve">Office Hours / Supered videos</t>
  </si>
  <si>
    <t xml:space="preserve">The customer's team can run what we built without us.</t>
  </si>
  <si>
    <t xml:space="preserve">Short Supered training videos, office-hours coaching, an admin handbook.</t>
  </si>
  <si>
    <t xml:space="preserve">Each audience finished its modules; adoption checks passed.</t>
  </si>
  <si>
    <t xml:space="preserve">P7</t>
  </si>
  <si>
    <t xml:space="preserve">Run cadence</t>
  </si>
  <si>
    <t xml:space="preserve">Office Hours + Weekly updates</t>
  </si>
  <si>
    <t xml:space="preserve">Same rhythm every week: office hours, Friday update, monthly business review, requests handled by urgency.</t>
  </si>
  <si>
    <t xml:space="preserve">Weekly update (work done → strategic issue, numbers, issues found), office hours, MBRs.</t>
  </si>
  <si>
    <t xml:space="preserve">Runs every week until the program ends.</t>
  </si>
  <si>
    <t xml:space="preserve">P8</t>
  </si>
  <si>
    <t xml:space="preserve">What's next</t>
  </si>
  <si>
    <t xml:space="preserve">30 Days Before We Finish, Explain What's Next</t>
  </si>
  <si>
    <t xml:space="preserve">The customer sees the long-term vision and picks the next phase before the program ends.</t>
  </si>
  <si>
    <t xml:space="preserve">'What's next' call with the Architect, A/B options, final results review.</t>
  </si>
  <si>
    <t xml:space="preserve">Next phase chosen (A, B or KPI monitoring only), results reviewed, project closed.</t>
  </si>
  <si>
    <t xml:space="preserve">P9</t>
  </si>
  <si>
    <t xml:space="preserve">After the program</t>
  </si>
  <si>
    <t xml:space="preserve">Post-1st Program Offers + Goal: keep relationship 6–12 months</t>
  </si>
  <si>
    <t xml:space="preserve">Keep the relationship for 6–12 more months, starting with 6 months of free KPI monitoring.</t>
  </si>
  <si>
    <t xml:space="preserve">Monthly KPI snapshot, check-ins at month 3 and 6, paid offers.</t>
  </si>
  <si>
    <t xml:space="preserve">Customer moved to a paid offer, or monitoring ends cleanly after 6 months.</t>
  </si>
  <si>
    <t xml:space="preserve">Worked example: Northpeak Outfitters (a made-up customer used to show the flow.), Marketing Hub Professional, 90 days, Day 0 = 2026-11-02.</t>
  </si>
  <si>
    <t xml:space="preserve">Stage</t>
  </si>
  <si>
    <t xml:space="preserve">Day</t>
  </si>
  <si>
    <t xml:space="preserve">Moment</t>
  </si>
  <si>
    <t xml:space="preserve">Customer</t>
  </si>
  <si>
    <t xml:space="preserve">HubSpot Work</t>
  </si>
  <si>
    <t xml:space="preserve">Mark Done in Work</t>
  </si>
  <si>
    <t xml:space="preserve">Note</t>
  </si>
  <si>
    <t xml:space="preserve">Before the sale</t>
  </si>
  <si>
    <t xml:space="preserve">Before Day 0</t>
  </si>
  <si>
    <t xml:space="preserve">The deal is being won</t>
  </si>
  <si>
    <t xml:space="preserve">• Watches the VSL, has the Fit call, fills the tech stack survey and watches the recommendation video.
• Joins the proposal Q&amp;A, signs the agreement (AI terms, escalation path, $250 requests) and pays.</t>
  </si>
  <si>
    <t xml:space="preserve">• Writes the research brief, builds the FigJam after the Fit call and captures the From→To statement.
• Builds the quote, picks the progress measures and adds the POC and supporters to the deal.
• Checks the Capacity report when the proposal goes out, so an Architect is ready.</t>
  </si>
  <si>
    <t xml:space="preserve">—</t>
  </si>
  <si>
    <t xml:space="preserve">• Nothing yet. A customer only gets a row once they pay, so deals that don't close never clutter Work.</t>
  </si>
  <si>
    <t xml:space="preserve">Week 1</t>
  </si>
  <si>
    <t xml:space="preserve">Payment lands</t>
  </si>
  <si>
    <t xml:space="preserve">• Gets welcome email #1 from Phil within minutes: the Supered Action Plan, the kickoff booking link and two to-dos (grant HubSpot access, fill the intake form).</t>
  </si>
  <si>
    <t xml:space="preserve">• Opens the Capacity report, picks the Architect and tells Ops.</t>
  </si>
  <si>
    <t xml:space="preserve">• Gets two notifications: the tasks are ready, and the Handoff Brief draft is waiting.</t>
  </si>
  <si>
    <t xml:space="preserve">• Adds the Customers row within 4 business hours: Customer, Company, Deal, Architect, Program length, Start date (the payment date), Products purchased = Marketing Hub Onboarding, tier, From→To goal, FigJam and Supered links. Then ticks Create tasks.
• Builds the Supered Action Plan from the template and checks welcome email #1 went out.</t>
  </si>
  <si>
    <t xml:space="preserve">• The Task Generator copies the Core tasks and the Marketing Hub module (74 rows) into Customer Task with due dates, assigns the Architect's tasks, sets Target end date, Tasks created for = Marketing Hub Onboarding, Current section = P1 and Health = On track, and unticks Create tasks.
• Handoff Brief writes a one-page draft in the Update table for the Architect and Phil.</t>
  </si>
  <si>
    <t xml:space="preserve">1.01, 1.02, 1.03, 1.04</t>
  </si>
  <si>
    <t xml:space="preserve">Day 1–3</t>
  </si>
  <si>
    <t xml:space="preserve">Handoff</t>
  </si>
  <si>
    <t xml:space="preserve">• Gets welcome email #2 on Day 2: how office hours, Friday updates, requests and escalation work.
• Books the 15-minute kickoff.</t>
  </si>
  <si>
    <t xml:space="preserve">• Runs the 30-minute handoff call with the Architect, using the Handoff Brief.
• Fixes any missing pre-sale item within 24 hours. From here on the Architect is the strategy lead.</t>
  </si>
  <si>
    <t xml:space="preserve">• Walks the P0 checklist: marks each item Done only if it's really there; anything missing goes back to Phil.
• Writes the progress measures with baselines and targets into the Customers row.
• Sets Won't do on what this customer didn't buy (MH-5.04 and MH-5.05 here, plus Enterprise-only subtasks for a Pro customer), with a note.
• Adds the office hours link to Supered and marks the Handoff Brief Reviewed.</t>
  </si>
  <si>
    <t xml:space="preserve">• Handoff Brief moves to Reviewed in the Update table.
• Portfolio Sync runs every day at 6:00 AM from now on, keeping Current section and Next due task current.</t>
  </si>
  <si>
    <t xml:space="preserve">0.01, 0.02, 0.03, 0.04, 0.05, 0.06, 0.07, 0.08, 1.05, 1.06, 1.07, 1.08, 1.09; Won't do: MH-5.04, MH-5.05</t>
  </si>
  <si>
    <t xml:space="preserve">Day 1–7</t>
  </si>
  <si>
    <t xml:space="preserve">Access and intake</t>
  </si>
  <si>
    <t xml:space="preserve">• Works through the Supered to-do list: grants HubSpot access, fills the intake form, shares DNS, WordPress, GA4, ad and social access and the Mailchimp login, uploads brand files.
• Gets a short Supered video on how updates and documentation will reach them.</t>
  </si>
  <si>
    <t xml:space="preserve">• Sets the customer's tasks to Waiting on client, and marks them Done only once the access works or the form is in.
• Chases on Day 3 if access isn't granted.
• Runs the portal audit and records the baseline numbers.</t>
  </si>
  <si>
    <t xml:space="preserve">• Delay Flagger (weekdays, 8:00 AM) flags anything past due or Waiting on client for more than 3 days.
• The Customers row now holds the baselines.</t>
  </si>
  <si>
    <t xml:space="preserve">2.01, 2.02, 2.03, 2.04, 2.05, 2.06, 2.07</t>
  </si>
  <si>
    <t xml:space="preserve">Week 1–2</t>
  </si>
  <si>
    <t xml:space="preserve">Day 5–10</t>
  </si>
  <si>
    <t xml:space="preserve">• Has a 15-minute call: meets the Architect and team, confirms the goal and plan, hears how office hours, Friday updates, MBRs and requests work.
• Gets calendar invites for MBR #1, MBR #2, the what's next call and the final review, and a recap within 24 hours.</t>
  </si>
  <si>
    <t xml:space="preserve">• Optional: joins for the first few minutes.</t>
  </si>
  <si>
    <t xml:space="preserve">• Drafts the agenda from the intake and the audit, then runs the call.
• Books the MBRs and fills Next MBR on the Customers row.
• Confirms who needs which training modules.
• Sends the recap and updates the Supered plan.</t>
  </si>
  <si>
    <t xml:space="preserve">• Next MBR is filled. Current section moves to P4 as the P1–P3 tasks close.</t>
  </si>
  <si>
    <t xml:space="preserve">3.01, 3.02, 3.03, 3.04, 6.01</t>
  </si>
  <si>
    <t xml:space="preserve">Weeks 2–4</t>
  </si>
  <si>
    <t xml:space="preserve">Day 7–30</t>
  </si>
  <si>
    <t xml:space="preserve">• Their IT contact adds the DNS records for email authentication.
• Gets a Supered video when the foundations are done.</t>
  </si>
  <si>
    <t xml:space="preserve">• Works through 4.01–4.11, ticking subtasks. A task is Done when every subtask is ticked or marked not applicable.
• Moves tasks blocked on the customer's IT (like MH-4.03) to Waiting on client.
• Foundation QA (4.11): when the end-to-end test passes, foundations are done. Records the Supered video (4.12).</t>
  </si>
  <si>
    <t xml:space="preserve">• Tasks move across the Board from Not started to In progress to Done. The Overdue view and Delay Flagger catch anything slipping.</t>
  </si>
  <si>
    <t xml:space="preserve">4.01, MH-4.02, MH-4.03, MH-4.04, 4.05, MH-4.06, 4.07, MH-4.08, 4.09, 4.10, 4.11, 4.12</t>
  </si>
  <si>
    <t xml:space="preserve">Every week</t>
  </si>
  <si>
    <t xml:space="preserve">Day 7–90</t>
  </si>
  <si>
    <t xml:space="preserve">The weekly rhythm</t>
  </si>
  <si>
    <t xml:space="preserve">• Books office hours when they need help, and sends requests whenever they come up.
• Gets the Friday update: work done and why it matters, numbers vs baseline, issues found, next week, their to-dos.</t>
  </si>
  <si>
    <t xml:space="preserve">• Runs a weekly delivery review with the Architects using the Health board, the Overdue view and the Capacity report.</t>
  </si>
  <si>
    <t xml:space="preserve">• Monday: plans the week from My tasks and This week.
• Logs every request the day it arrives.
• Friday: opens the Weekly update draft, adds the week's numbers from the dashboard, sends it, marks it Sent and sets Health.</t>
  </si>
  <si>
    <t xml:space="preserve">• Thursday 9:00 AM: Weekly Update Drafter writes the draft.
• Weekdays 8:00 AM: Delay Flagger. Daily 6:00 AM: Portfolio Sync.
• Recurring P7 tasks stay In progress until close-out; each Sent update is the record that the week happened.</t>
  </si>
  <si>
    <t xml:space="preserve">Weeks 3–11</t>
  </si>
  <si>
    <t xml:space="preserve">Day 21–75</t>
  </si>
  <si>
    <t xml:space="preserve">Build and launch</t>
  </si>
  <si>
    <t xml:space="preserve">• Reviews and approves each build: copy, forms, nurture emails, and the MQL handoff with their sales team.
• Confirms Mailchimp can be switched off after one parallel send.
• Gets a Supered video per delivery, and the training module for each feature as it ships.</t>
  </si>
  <si>
    <t xml:space="preserve">• Builds one progress measure at a time: 1.1 Visitor → Lead, then 1.2 Lead → MQL, then 1.3 MQL → Meeting.
• Sets a build to In review while it waits for sign-off, and marks it Done only after sign-off and go-live.
• Moves the landing pages and blog within the limits, and launches the first campaign with the customer.</t>
  </si>
  <si>
    <t xml:space="preserve">• In review shows what's waiting on the customer. The Client to-dos view lists everything they owe.</t>
  </si>
  <si>
    <t xml:space="preserve">MH-5.01, MH-5.02, MH-5.03, MH-5.06, MH-5.07, MH-5.08, MH-5.09, MH-5.10, 5.11, 5.12, MH-6.02</t>
  </si>
  <si>
    <t xml:space="preserve">In the example, Thanksgiving (Day 24) and Christmas (Day 53) fall in this stretch. Plan customer sign-offs around them.</t>
  </si>
  <si>
    <t xml:space="preserve">Months 1–2</t>
  </si>
  <si>
    <t xml:space="preserve">Day 30–60</t>
  </si>
  <si>
    <t xml:space="preserve">Monthly Business Reviews</t>
  </si>
  <si>
    <t xml:space="preserve">• MBR #1 (about Day 30) and MBR #2 (about Day 60): progress vs baseline on each progress measure, what we found, what's next.</t>
  </si>
  <si>
    <t xml:space="preserve">• Optional at MBR #1. Joins MBR #2 if there's a commercial topic.</t>
  </si>
  <si>
    <t xml:space="preserve">• Runs each MBR from the dashboard and the Friday updates, and updates Next MBR.
• Day 45: adoption check (logins, emails sent, workflows on).</t>
  </si>
  <si>
    <t xml:space="preserve">• Next MBR moves to the next date.</t>
  </si>
  <si>
    <t xml:space="preserve">6.03</t>
  </si>
  <si>
    <t xml:space="preserve">Day 55</t>
  </si>
  <si>
    <t xml:space="preserve">What's next prep</t>
  </si>
  <si>
    <t xml:space="preserve">• Reviews Option A and Option B before the call.</t>
  </si>
  <si>
    <t xml:space="preserve">• Edits the draft: results, issues found, 'not now' ideas, two next-phase options and the offer that fits.</t>
  </si>
  <si>
    <t xml:space="preserve">• What's Next Prep fires 35 days before the Target end date and writes the draft in the Update table.
• The customer shows up in the Ending soon view.</t>
  </si>
  <si>
    <t xml:space="preserve">8.01</t>
  </si>
  <si>
    <t xml:space="preserve">In the example, Day 55 is Sunday, Dec 27. The agent still runs; the Architect edits the draft on Monday.</t>
  </si>
  <si>
    <t xml:space="preserve">Day 60–65</t>
  </si>
  <si>
    <t xml:space="preserve">The what's next call</t>
  </si>
  <si>
    <t xml:space="preserve">• Sees the results so far and the long-term vision, chooses Option A or B, and hears about the 6 months of free KPI monitoring.</t>
  </si>
  <si>
    <t xml:space="preserve">• Helps price the proposal if needed.</t>
  </si>
  <si>
    <t xml:space="preserve">• Runs the call.
• Creates the next-phase deal in the Sales Pipeline and sends the proposal.</t>
  </si>
  <si>
    <t xml:space="preserve">• The What's next options update is marked Sent.</t>
  </si>
  <si>
    <t xml:space="preserve">8.02, 8.03</t>
  </si>
  <si>
    <t xml:space="preserve">In the example, Day 60 is New Year's Day. Book the call for Jan 4–6 at kickoff.</t>
  </si>
  <si>
    <t xml:space="preserve">Weeks 11–13</t>
  </si>
  <si>
    <t xml:space="preserve">Day 75–88</t>
  </si>
  <si>
    <t xml:space="preserve">Finish strong</t>
  </si>
  <si>
    <t xml:space="preserve">• Gets the admin handbook in Supered.
• Final results review: before vs after, what was built, what's still open.</t>
  </si>
  <si>
    <t xml:space="preserve">• Adoption check #2 (Day 75), the admin handbook, and the final results review.</t>
  </si>
  <si>
    <t xml:space="preserve">6.04, 6.05, 8.04</t>
  </si>
  <si>
    <t xml:space="preserve">Day 85–90</t>
  </si>
  <si>
    <t xml:space="preserve">Close the program</t>
  </si>
  <si>
    <t xml:space="preserve">• Gets a thank-you, a short feedback survey and a testimonial ask.</t>
  </si>
  <si>
    <t xml:space="preserve">• Reads the feedback.</t>
  </si>
  <si>
    <t xml:space="preserve">• Marks every remaining P1–P8 task Done or Won't do, including the recurring P7 tasks.
• Schedules the monthly dashboard email for the monitoring period.</t>
  </si>
  <si>
    <t xml:space="preserve">• Archives the Supered plan.</t>
  </si>
  <si>
    <t xml:space="preserve">• Portfolio Sync moves Current section to P9 once the Target end date passes.</t>
  </si>
  <si>
    <t xml:space="preserve">8.05, 7.01, 7.02, 7.03, 7.04, 7.05, 7.06, 7.07</t>
  </si>
  <si>
    <t xml:space="preserve">In the example, Day 90 is Sunday, Jan 31. Close out by Friday, Jan 29.</t>
  </si>
  <si>
    <t xml:space="preserve">After: months 1–6</t>
  </si>
  <si>
    <t xml:space="preserve">Day 90–270</t>
  </si>
  <si>
    <t xml:space="preserve">Free KPI monitoring</t>
  </si>
  <si>
    <t xml:space="preserve">• Gets a monthly KPI snapshot email with 3 short notes.
• Hears from us if something breaks (deliverability drop, workflow errors, form submissions falling).
• Can still send requests at $250 each.</t>
  </si>
  <si>
    <t xml:space="preserve">• On the 1st of each month: adds the numbers to the KPI snapshot draft and sends it with the dashboard email.
• Acts on health alerts.</t>
  </si>
  <si>
    <t xml:space="preserve">• KPI Snapshot Drafter runs on the 1st of the month at 9:00 AM.</t>
  </si>
  <si>
    <t xml:space="preserve">9.01, 9.02</t>
  </si>
  <si>
    <t xml:space="preserve">After: months 3, 5, 6</t>
  </si>
  <si>
    <t xml:space="preserve">Day 180–270</t>
  </si>
  <si>
    <t xml:space="preserve">Check-ins and the paid next step</t>
  </si>
  <si>
    <t xml:space="preserve">• Month 3: a 30-minute check-in.
• Month 5: hears the paid options (team support at $1,670/mo, building internal capacity, one initiative a month).
• Month 6: last check-in. Picks a paid offer, or monitoring ends.</t>
  </si>
  <si>
    <t xml:space="preserve">• Joins the month-5 conversation if useful.</t>
  </si>
  <si>
    <t xml:space="preserve">• Runs all three calls.
• A paid offer becomes a new deal. With no paid offer, sets Current section = Completed.</t>
  </si>
  <si>
    <t xml:space="preserve">• Once the row is Completed, the customer drops out of every active view.</t>
  </si>
  <si>
    <t xml:space="preserve">9.03, 9.04, 9.05</t>
  </si>
  <si>
    <t xml:space="preserve">When to change a task's status</t>
  </si>
  <si>
    <t xml:space="preserve">Status</t>
  </si>
  <si>
    <t xml:space="preserve">When</t>
  </si>
  <si>
    <t xml:space="preserve">Not started</t>
  </si>
  <si>
    <t xml:space="preserve">Default when the Task Generator copies the task in.</t>
  </si>
  <si>
    <t xml:space="preserve">In progress</t>
  </si>
  <si>
    <t xml:space="preserve">Someone has started it. Move it the day you start.</t>
  </si>
  <si>
    <t xml:space="preserve">Waiting on client</t>
  </si>
  <si>
    <t xml:space="preserve">Blocked on the customer: access, DNS, content or an answer. The Delay Flagger chases after 3 days.</t>
  </si>
  <si>
    <t xml:space="preserve">In review</t>
  </si>
  <si>
    <t xml:space="preserve">Built and waiting for the customer's sign-off.</t>
  </si>
  <si>
    <t xml:space="preserve">Done</t>
  </si>
  <si>
    <t xml:space="preserve">The definition of done is met and checked. The Architect marks client-owned tasks Done once verified. Recurring tasks are marked Done at close-out.</t>
  </si>
  <si>
    <t xml:space="preserve">Won't do</t>
  </si>
  <si>
    <t xml:space="preserve">Doesn't apply to this customer, such as an optional measure they didn't buy or an Enterprise-only item for a Pro customer. Add a note saying why.</t>
  </si>
  <si>
    <t xml:space="preserve">How a request moves</t>
  </si>
  <si>
    <t xml:space="preserve">Step</t>
  </si>
  <si>
    <t xml:space="preserve">What happens</t>
  </si>
  <si>
    <t xml:space="preserve">Customer asks</t>
  </si>
  <si>
    <t xml:space="preserve">By email, Slack, in office hours or in Supered.</t>
  </si>
  <si>
    <t xml:space="preserve">Logged the same day</t>
  </si>
  <si>
    <t xml:space="preserve">The Architect adds a Requests row: Customer, Request, Type = Client request, Logged on = today.</t>
  </si>
  <si>
    <t xml:space="preserve">Agent triage</t>
  </si>
  <si>
    <t xml:space="preserve">Request Triage sets Urgency, Price and Due date. A Critical request alerts the Architect and Phil.</t>
  </si>
  <si>
    <t xml:space="preserve">Customer confirms</t>
  </si>
  <si>
    <t xml:space="preserve">The Architect checks the triage, then tells the customer the class, turnaround and price. Paid requests wait for their OK. Fixing something we built never does.</t>
  </si>
  <si>
    <t xml:space="preserve">Work</t>
  </si>
  <si>
    <t xml:space="preserve">New → In progress once they say yes → Done. Bigger than about 2 hours → Quoted → a proposal. An idea for later → Parked.</t>
  </si>
  <si>
    <t xml:space="preserve">Billing</t>
  </si>
  <si>
    <t xml:space="preserve">Suggested: Ops bills every Done request with a price at the end of the month.</t>
  </si>
  <si>
    <t xml:space="preserve">What we find ourselves</t>
  </si>
  <si>
    <t xml:space="preserve">Issues the Architect finds are logged as Issue found, ideas as Client idea. Both feed the Friday update and the what's next call.</t>
  </si>
  <si>
    <t xml:space="preserve">A normal week</t>
  </si>
  <si>
    <t xml:space="preserve">Who</t>
  </si>
  <si>
    <t xml:space="preserve">Every day, 6:00 AM</t>
  </si>
  <si>
    <t xml:space="preserve">Portfolio Sync updates Current section and Next due task.</t>
  </si>
  <si>
    <t xml:space="preserve">Weekdays, 8:00 AM</t>
  </si>
  <si>
    <t xml:space="preserve">Delay Flagger messages the Architect about overdue or stuck tasks.</t>
  </si>
  <si>
    <t xml:space="preserve">Monday</t>
  </si>
  <si>
    <t xml:space="preserve">Plans the week from My tasks and This week, and moves tasks to In progress.</t>
  </si>
  <si>
    <t xml:space="preserve">Any day</t>
  </si>
  <si>
    <t xml:space="preserve">Books office hours and sends requests.</t>
  </si>
  <si>
    <t xml:space="preserve">Logs requests the day they arrive.</t>
  </si>
  <si>
    <t xml:space="preserve">Once a week</t>
  </si>
  <si>
    <t xml:space="preserve">Phil + Architects</t>
  </si>
  <si>
    <t xml:space="preserve">Delivery review: Health board, Overdue view, Capacity report.</t>
  </si>
  <si>
    <t xml:space="preserve">Thursday, 9:00 AM</t>
  </si>
  <si>
    <t xml:space="preserve">Weekly Update Drafter writes each customer's draft.</t>
  </si>
  <si>
    <t xml:space="preserve">Friday</t>
  </si>
  <si>
    <t xml:space="preserve">Adds the numbers, sends the update, marks it Sent and sets Health.</t>
  </si>
  <si>
    <t xml:space="preserve">When things don't go to plan</t>
  </si>
  <si>
    <t xml:space="preserve">Situation</t>
  </si>
  <si>
    <t xml:space="preserve">What to do</t>
  </si>
  <si>
    <t xml:space="preserve">The customer is slow with access or the intake</t>
  </si>
  <si>
    <t xml:space="preserve">Task goes to Waiting on client. Chase on Day 3. On Day 7, escalate to Phil using the escalation path and set Health to At risk.</t>
  </si>
  <si>
    <t xml:space="preserve">A pre-sale item is missing at handoff</t>
  </si>
  <si>
    <t xml:space="preserve">The Architect flags it on the P0 task. Phil fixes it within 24 hours.</t>
  </si>
  <si>
    <t xml:space="preserve">The customer wants to pause</t>
  </si>
  <si>
    <t xml:space="preserve">Set Health to Off track with a note. If the pause is longer than 2 weeks, move the Start date forward by the pause length. The Task Generator re-dates every task.</t>
  </si>
  <si>
    <t xml:space="preserve">The Architect changes</t>
  </si>
  <si>
    <t xml:space="preserve">Change the Architect on the Customers row. The Task Generator moves the open Architect tasks to the new person.</t>
  </si>
  <si>
    <t xml:space="preserve">The program length changes</t>
  </si>
  <si>
    <t xml:space="preserve">Change Program length (60, 75 or 90). Every due date recalculates.</t>
  </si>
  <si>
    <t xml:space="preserve">A due date lands on a weekend or holiday</t>
  </si>
  <si>
    <t xml:space="preserve">Dates are calendar days, so treat it as the next business day. In the example, Day 24 is Thanksgiving, Day 53 is Christmas and Day 60 is New Year's Day.</t>
  </si>
  <si>
    <t xml:space="preserve">Something live breaks</t>
  </si>
  <si>
    <t xml:space="preserve">Log it as a Critical request. Fix it within 1 business day. It's free if it's in something we built.</t>
  </si>
  <si>
    <t xml:space="preserve">The customer wants to buy more mid-program</t>
  </si>
  <si>
    <t xml:space="preserve">Log a request. It becomes Quoted, then a deal. This program's tasks don't change.</t>
  </si>
  <si>
    <t xml:space="preserve">The customer buys another hub mid-program</t>
  </si>
  <si>
    <t xml:space="preserve">Add it to Products purchased and tick Create tasks. The Task Generator adds only that hub's tasks, dated from that day. Core tasks aren't duplicated.</t>
  </si>
  <si>
    <t xml:space="preserve">The task library: Core tasks for every customer plus one module per hub (MH-, SH-, SV-). Set Program length in yellow; 'Due day (this program)' compresses.</t>
  </si>
  <si>
    <t xml:space="preserve">Program length (days)</t>
  </si>
  <si>
    <t xml:space="preserve">Plan laid out for</t>
  </si>
  <si>
    <t xml:space="preserve">Fixed until day</t>
  </si>
  <si>
    <t xml:space="preserve">ID</t>
  </si>
  <si>
    <t xml:space="preserve">Section</t>
  </si>
  <si>
    <t xml:space="preserve">Task</t>
  </si>
  <si>
    <t xml:space="preserve">Definition of done</t>
  </si>
  <si>
    <t xml:space="preserve">Owner</t>
  </si>
  <si>
    <t xml:space="preserve">Client-facing</t>
  </si>
  <si>
    <t xml:space="preserve">Due day (90-day plan)</t>
  </si>
  <si>
    <t xml:space="preserve">Due day (this program)</t>
  </si>
  <si>
    <t xml:space="preserve">Repeats</t>
  </si>
  <si>
    <t xml:space="preserve">Depends on</t>
  </si>
  <si>
    <t xml:space="preserve">Lives in</t>
  </si>
  <si>
    <t xml:space="preserve">Module</t>
  </si>
  <si>
    <t xml:space="preserve">0.01</t>
  </si>
  <si>
    <t xml:space="preserve">P0 · Handoff checklist</t>
  </si>
  <si>
    <t xml:space="preserve">Research brief from company URL</t>
  </si>
  <si>
    <t xml:space="preserve">Website URL on the deal; research brief attached as a note before the Fit call.</t>
  </si>
  <si>
    <t xml:space="preserve">No</t>
  </si>
  <si>
    <t xml:space="preserve">Deal note</t>
  </si>
  <si>
    <t xml:space="preserve">Core</t>
  </si>
  <si>
    <t xml:space="preserve">0.02</t>
  </si>
  <si>
    <t xml:space="preserve">FigJam canvas after Fit call</t>
  </si>
  <si>
    <t xml:space="preserve">Covers strategic motivation, tactical outcomes, progress measures and fee range. Link saved on the deal.</t>
  </si>
  <si>
    <t xml:space="preserve">Deal: Canvas / FigJam Link</t>
  </si>
  <si>
    <t xml:space="preserve">0.03</t>
  </si>
  <si>
    <t xml:space="preserve">From→To statement captured</t>
  </si>
  <si>
    <t xml:space="preserve">One sentence: from where they are today to where they want to be. Every weekly update ties back to it.</t>
  </si>
  <si>
    <t xml:space="preserve">Deal property</t>
  </si>
  <si>
    <t xml:space="preserve">0.04</t>
  </si>
  <si>
    <t xml:space="preserve">Tech stack &amp; team capacity survey</t>
  </si>
  <si>
    <t xml:space="preserve">Client gave HubSpot access and finished the survey: tools beyond HubSpot, internal processes and cadences, current KPIs.</t>
  </si>
  <si>
    <t xml:space="preserve">Yes</t>
  </si>
  <si>
    <t xml:space="preserve">Form → deal/company</t>
  </si>
  <si>
    <t xml:space="preserve">0.05</t>
  </si>
  <si>
    <t xml:space="preserve">Products and quote on the deal</t>
  </si>
  <si>
    <t xml:space="preserve">Pricing calculator used, line items added, quote created. Each hub bought is Pro or Enterprise.</t>
  </si>
  <si>
    <t xml:space="preserve">Deal line items + quote</t>
  </si>
  <si>
    <t xml:space="preserve">0.06</t>
  </si>
  <si>
    <t xml:space="preserve">Progress measures picked</t>
  </si>
  <si>
    <t xml:space="preserve">The standard progress measures for each hub bought (Progress Measures tab), plus any optional ones. Baselines noted if known.</t>
  </si>
  <si>
    <t xml:space="preserve">0.07</t>
  </si>
  <si>
    <t xml:space="preserve">POC and supporters identified</t>
  </si>
  <si>
    <t xml:space="preserve">Contacts on the deal with labels (POC, Supporter, Billing, Decision maker). POC gets the weekly email.</t>
  </si>
  <si>
    <t xml:space="preserve">Deal contacts</t>
  </si>
  <si>
    <t xml:space="preserve">0.08</t>
  </si>
  <si>
    <t xml:space="preserve">Agreement signed</t>
  </si>
  <si>
    <t xml:space="preserve">Includes AI terms, escalation path, how progress is measured, POC and supporters, strategic job → tactical outcomes → progress measures, and request handling ($250 per request, urgency classes).</t>
  </si>
  <si>
    <t xml:space="preserve">Quote / e-signature</t>
  </si>
  <si>
    <t xml:space="preserve">1.01</t>
  </si>
  <si>
    <t xml:space="preserve">P1 · Close &amp; welcome</t>
  </si>
  <si>
    <t xml:space="preserve">Pick the Architect</t>
  </si>
  <si>
    <t xml:space="preserve">Phil checks the Capacity report (active customers per Architect) and picks the Architect.</t>
  </si>
  <si>
    <t xml:space="preserve">Work: Capacity report</t>
  </si>
  <si>
    <t xml:space="preserve">1.02</t>
  </si>
  <si>
    <t xml:space="preserve">Add the customer in HubSpot Work</t>
  </si>
  <si>
    <t xml:space="preserve">Add a Customers row: Customer, Company, Deal, Architect, Program length, Start date (the payment date), Products purchased, hub tiers, From→To goal, FigJam and Supered links. Tick Create tasks and check the Task Generator filled Tasks created for.</t>
  </si>
  <si>
    <t xml:space="preserve">Work: Customers table</t>
  </si>
  <si>
    <t xml:space="preserve">1.03</t>
  </si>
  <si>
    <t xml:space="preserve">Welcome email #1: welcome + Action Plan</t>
  </si>
  <si>
    <t xml:space="preserve">Sent from Phil on Day 0: Supered Action Plan link, kickoff booking link, first to-dos (grant HubSpot access, fill the intake form).</t>
  </si>
  <si>
    <t xml:space="preserve">HubSpot email (automated on deal stage)</t>
  </si>
  <si>
    <t xml:space="preserve">1.04</t>
  </si>
  <si>
    <t xml:space="preserve">Build the Supered Action Plan</t>
  </si>
  <si>
    <t xml:space="preserve">Duplicate the Action Plan template for the products bought; add the agreement, FigJam, client to-dos and access checklist.</t>
  </si>
  <si>
    <t xml:space="preserve">Supered</t>
  </si>
  <si>
    <t xml:space="preserve">1.05</t>
  </si>
  <si>
    <t xml:space="preserve">Phil ↔ Architect handoff (30 min)</t>
  </si>
  <si>
    <t xml:space="preserve">Walk through FigJam, customer context, products, the From→To goal, progress measures and KPIs, schedule. Architect checks the Handoff checklist section. Strategy lead moves to the Architect after this call.</t>
  </si>
  <si>
    <t xml:space="preserve">Meeting on the deal</t>
  </si>
  <si>
    <t xml:space="preserve">1.06</t>
  </si>
  <si>
    <t xml:space="preserve">Set up progress measures</t>
  </si>
  <si>
    <t xml:space="preserve">Add the customer's progress measures to their Customers row (name '&lt;Client&gt; 1.1 Visitor to Lead' etc.) with baseline, target and schedule.</t>
  </si>
  <si>
    <t xml:space="preserve">Work: Customers row</t>
  </si>
  <si>
    <t xml:space="preserve">1.07</t>
  </si>
  <si>
    <t xml:space="preserve">Office hours booking link</t>
  </si>
  <si>
    <t xml:space="preserve">Architect's HubSpot meetings link (office-hours type) added to the Supered plan.</t>
  </si>
  <si>
    <t xml:space="preserve">HubSpot Meetings + Supered</t>
  </si>
  <si>
    <t xml:space="preserve">1.08</t>
  </si>
  <si>
    <t xml:space="preserve">Welcome email #2: how we work</t>
  </si>
  <si>
    <t xml:space="preserve">Day 2: office hours, Friday updates, how to send a request and the urgency classes, escalation path, how we use AI.</t>
  </si>
  <si>
    <t xml:space="preserve">HubSpot email (automated)</t>
  </si>
  <si>
    <t xml:space="preserve">1.09</t>
  </si>
  <si>
    <t xml:space="preserve">Kickoff booked</t>
  </si>
  <si>
    <t xml:space="preserve">Client books the 15-minute kickoff from welcome email #1. Chase on Day 3 if not booked.</t>
  </si>
  <si>
    <t xml:space="preserve">HubSpot Meetings</t>
  </si>
  <si>
    <t xml:space="preserve">2.01</t>
  </si>
  <si>
    <t xml:space="preserve">P2 · Access &amp; intake</t>
  </si>
  <si>
    <t xml:space="preserve">HubSpot access granted</t>
  </si>
  <si>
    <t xml:space="preserve">Partner access or a Super Admin user for the Architect. Confirm Pro or Enterprise per hub.</t>
  </si>
  <si>
    <t xml:space="preserve">Supered to-do</t>
  </si>
  <si>
    <t xml:space="preserve">2.02</t>
  </si>
  <si>
    <t xml:space="preserve">Intake form submitted</t>
  </si>
  <si>
    <t xml:space="preserve">Short form with only what pre-sale didn't capture (Intake Form tab).</t>
  </si>
  <si>
    <t xml:space="preserve">Intake form</t>
  </si>
  <si>
    <t xml:space="preserve">2.03</t>
  </si>
  <si>
    <t xml:space="preserve">Access to connected systems</t>
  </si>
  <si>
    <t xml:space="preserve">DNS/IT contact, website CMS, GA4/GTM, ad and social accounts, and every old tool we migrate from (email tool, CRM, help desk).</t>
  </si>
  <si>
    <t xml:space="preserve">2.04</t>
  </si>
  <si>
    <t xml:space="preserve">Brand &amp; content assets shared</t>
  </si>
  <si>
    <t xml:space="preserve">Brand guide, logos, fonts, colors, email templates, key content, lists to import.</t>
  </si>
  <si>
    <t xml:space="preserve">Supered upload</t>
  </si>
  <si>
    <t xml:space="preserve">2.05</t>
  </si>
  <si>
    <t xml:space="preserve">Supered announcement to POC</t>
  </si>
  <si>
    <t xml:space="preserve">Short video: how Supered works (Bases, announcements, documentation) and where updates show up.</t>
  </si>
  <si>
    <t xml:space="preserve">2.06</t>
  </si>
  <si>
    <t xml:space="preserve">Portal audit</t>
  </si>
  <si>
    <t xml:space="preserve">Data health, email health, existing assets, tracking, workflows, properties, old tool inventory. 1-page summary for kickoff.</t>
  </si>
  <si>
    <t xml:space="preserve">Work: Update table</t>
  </si>
  <si>
    <t xml:space="preserve">2.07</t>
  </si>
  <si>
    <t xml:space="preserve">Baseline numbers</t>
  </si>
  <si>
    <t xml:space="preserve">Record the 'before' number for each progress measure.</t>
  </si>
  <si>
    <t xml:space="preserve">3.01</t>
  </si>
  <si>
    <t xml:space="preserve">P3 · Kickoff</t>
  </si>
  <si>
    <t xml:space="preserve">Kickoff agenda</t>
  </si>
  <si>
    <t xml:space="preserve">Plan summary, missing items, decisions needed. Drafted from intake + audit.</t>
  </si>
  <si>
    <t xml:space="preserve">2.02, 2.06</t>
  </si>
  <si>
    <t xml:space="preserve">3.02</t>
  </si>
  <si>
    <t xml:space="preserve">Kickoff session (15 min)</t>
  </si>
  <si>
    <t xml:space="preserve">Architect &amp; team intro; confirm the goal and plan; walk through missing items; explain office hours, Friday updates, MBRs and how to send requests.</t>
  </si>
  <si>
    <t xml:space="preserve">Meeting</t>
  </si>
  <si>
    <t xml:space="preserve">3.03</t>
  </si>
  <si>
    <t xml:space="preserve">Book MBRs and the 'what's next' call</t>
  </si>
  <si>
    <t xml:space="preserve">MBR #1 ≈ Day 30, MBR #2 ≈ Day 60, 'what's next' ≈ Day 60–65, final results review ≈ Day 85 (scaled to program length).</t>
  </si>
  <si>
    <t xml:space="preserve">Meetings</t>
  </si>
  <si>
    <t xml:space="preserve">3.04</t>
  </si>
  <si>
    <t xml:space="preserve">Kickoff recap within 24h</t>
  </si>
  <si>
    <t xml:space="preserve">Decisions, owners, dates, client to-dos. Supered plan updated.</t>
  </si>
  <si>
    <t xml:space="preserve">Email + Supered</t>
  </si>
  <si>
    <t xml:space="preserve">4.01</t>
  </si>
  <si>
    <t xml:space="preserve">P4 · Foundations</t>
  </si>
  <si>
    <t xml:space="preserve">Account, users &amp; security</t>
  </si>
  <si>
    <t xml:space="preserve">Users, permission sets, 2FA; Enterprise extras where bought.</t>
  </si>
  <si>
    <t xml:space="preserve">Tech Setup tab</t>
  </si>
  <si>
    <t xml:space="preserve">4.05</t>
  </si>
  <si>
    <t xml:space="preserve">Data model</t>
  </si>
  <si>
    <t xml:space="preserve">Property audit, lifecycle stage definitions, lead status, marketing-contact rules.</t>
  </si>
  <si>
    <t xml:space="preserve">4.07</t>
  </si>
  <si>
    <t xml:space="preserve">Data import &amp; cleanup</t>
  </si>
  <si>
    <t xml:space="preserve">Import contacts and companies (including migrated data, with consent mapped and unsubscribes suppressed), dedupe, associations, marketing contacts.</t>
  </si>
  <si>
    <t xml:space="preserve">4.09</t>
  </si>
  <si>
    <t xml:space="preserve">Integrations</t>
  </si>
  <si>
    <t xml:space="preserve">Every integration the intake lists: GA4, ad and social accounts, webinar tool, Slack, CRM sync if their CRM isn't HubSpot. Mark the ones this customer doesn't need as not applicable.</t>
  </si>
  <si>
    <t xml:space="preserve">4.10</t>
  </si>
  <si>
    <t xml:space="preserve">Baseline dashboard</t>
  </si>
  <si>
    <t xml:space="preserve">One report per progress measure, showing baseline vs now. Used in every weekly update.</t>
  </si>
  <si>
    <t xml:space="preserve">HubSpot dashboard</t>
  </si>
  <si>
    <t xml:space="preserve">4.11</t>
  </si>
  <si>
    <t xml:space="preserve">Foundation QA</t>
  </si>
  <si>
    <t xml:space="preserve">Test the main flow end to end for each hub bought (Marketing: visit → form → contact → email; Sales: lead → owner → deal; Service: email → ticket → reply).</t>
  </si>
  <si>
    <t xml:space="preserve">4.07 and each hub's foundation tasks</t>
  </si>
  <si>
    <t xml:space="preserve">4.12</t>
  </si>
  <si>
    <t xml:space="preserve">Supered video: foundations done</t>
  </si>
  <si>
    <t xml:space="preserve">What changed for the customer and why it matters.</t>
  </si>
  <si>
    <t xml:space="preserve">MH-4.02</t>
  </si>
  <si>
    <t xml:space="preserve">Tracking &amp; consent</t>
  </si>
  <si>
    <t xml:space="preserve">Tracking code on every domain, internal traffic excluded, cookie banner set.</t>
  </si>
  <si>
    <t xml:space="preserve">Marketing Hub</t>
  </si>
  <si>
    <t xml:space="preserve">MH-4.03</t>
  </si>
  <si>
    <t xml:space="preserve">Domains &amp; email authentication</t>
  </si>
  <si>
    <t xml:space="preserve">Content domain connected; sending domain authenticated (SPF, DKIM, DMARC) with the client's DNS contact.</t>
  </si>
  <si>
    <t xml:space="preserve">MH-4.04</t>
  </si>
  <si>
    <t xml:space="preserve">Email foundations</t>
  </si>
  <si>
    <t xml:space="preserve">Subscription types, footer and address, brand kit, email templates, default sender.</t>
  </si>
  <si>
    <t xml:space="preserve">MH-4.06</t>
  </si>
  <si>
    <t xml:space="preserve">Migration plan &amp; export</t>
  </si>
  <si>
    <t xml:space="preserve">Inventory and export from the old tool: lists, consent, unsubscribes and bounces, templates, active automations.</t>
  </si>
  <si>
    <t xml:space="preserve">MH-4.08</t>
  </si>
  <si>
    <t xml:space="preserve">Website connection</t>
  </si>
  <si>
    <t xml:space="preserve">HubSpot forms, CTAs, chat and meetings on the current website; landing page and blog templates.</t>
  </si>
  <si>
    <t xml:space="preserve">SH-4.01</t>
  </si>
  <si>
    <t xml:space="preserve">Sales users, seats &amp; inboxes</t>
  </si>
  <si>
    <t xml:space="preserve">Sales Hub seats assigned, teams and permission sets set, every rep's inbox and calendar connected, email tracking and logging on.</t>
  </si>
  <si>
    <t xml:space="preserve">Sales Hub</t>
  </si>
  <si>
    <t xml:space="preserve">SH-4.02</t>
  </si>
  <si>
    <t xml:space="preserve">Deal pipelines &amp; stages</t>
  </si>
  <si>
    <t xml:space="preserve">One pipeline per sales motion. Each stage has exit criteria, a probability and required properties, agreed with the sales lead.</t>
  </si>
  <si>
    <t xml:space="preserve">SH-4.03</t>
  </si>
  <si>
    <t xml:space="preserve">Lead management &amp; assignment</t>
  </si>
  <si>
    <t xml:space="preserve">Lead status and lifecycle definitions agreed with marketing, assignment rules (rotation or territory), follow-up SLA.</t>
  </si>
  <si>
    <t xml:space="preserve">SH-4.04</t>
  </si>
  <si>
    <t xml:space="preserve">Products, quotes &amp; e-signature</t>
  </si>
  <si>
    <t xml:space="preserve">Product library, quote templates, e-signature, payments if they use them.</t>
  </si>
  <si>
    <t xml:space="preserve">SH-4.05</t>
  </si>
  <si>
    <t xml:space="preserve">CRM migration</t>
  </si>
  <si>
    <t xml:space="preserve">Companies, contacts, open deals, owners and activity history moved from the old CRM or spreadsheets, using a field map the client approved.</t>
  </si>
  <si>
    <t xml:space="preserve">SH-4.06</t>
  </si>
  <si>
    <t xml:space="preserve">Sales integrations</t>
  </si>
  <si>
    <t xml:space="preserve">Calling, Zoom or Teams, LinkedIn Sales Navigator, accounting or ERP if needed.</t>
  </si>
  <si>
    <t xml:space="preserve">SV-4.01</t>
  </si>
  <si>
    <t xml:space="preserve">Service users, seats &amp; help desk</t>
  </si>
  <si>
    <t xml:space="preserve">Service Hub seats, teams and permission sets, the help desk workspace and business hours.</t>
  </si>
  <si>
    <t xml:space="preserve">Service Hub</t>
  </si>
  <si>
    <t xml:space="preserve">SV-4.02</t>
  </si>
  <si>
    <t xml:space="preserve">Support channels</t>
  </si>
  <si>
    <t xml:space="preserve">Support email, chat, forms and calling connected to the help desk, plus WhatsApp or Messenger if used.</t>
  </si>
  <si>
    <t xml:space="preserve">SV-4.03</t>
  </si>
  <si>
    <t xml:space="preserve">Ticket pipelines &amp; routing</t>
  </si>
  <si>
    <t xml:space="preserve">Ticket pipelines and stages, priority and category properties, required fields, routing rules.</t>
  </si>
  <si>
    <t xml:space="preserve">SV-4.04</t>
  </si>
  <si>
    <t xml:space="preserve">Help desk migration</t>
  </si>
  <si>
    <t xml:space="preserve">Open tickets, ticket history, knowledge base articles and saved replies moved from the old help desk.</t>
  </si>
  <si>
    <t xml:space="preserve">SV-4.05</t>
  </si>
  <si>
    <t xml:space="preserve">SLAs &amp; escalation</t>
  </si>
  <si>
    <t xml:space="preserve">First-response and time-to-close SLAs by priority, escalation rules, business hours.</t>
  </si>
  <si>
    <t xml:space="preserve">5.11</t>
  </si>
  <si>
    <t xml:space="preserve">P5 · Build &amp; launch</t>
  </si>
  <si>
    <t xml:space="preserve">Client sign-off per progress measure</t>
  </si>
  <si>
    <t xml:space="preserve">Client approves each build before it goes live.</t>
  </si>
  <si>
    <t xml:space="preserve">Each hub's build tasks</t>
  </si>
  <si>
    <t xml:space="preserve">Work: Status 'In review'</t>
  </si>
  <si>
    <t xml:space="preserve">5.12</t>
  </si>
  <si>
    <t xml:space="preserve">Supered video per delivery</t>
  </si>
  <si>
    <t xml:space="preserve">What was built, how to use it, why it matters.</t>
  </si>
  <si>
    <t xml:space="preserve">After each delivery</t>
  </si>
  <si>
    <t xml:space="preserve">MH-5.01</t>
  </si>
  <si>
    <t xml:space="preserve">Build 1.1 Visitor → Lead</t>
  </si>
  <si>
    <t xml:space="preserve">Forms, CTAs, landing and thank-you pages live on the right pages. Measure: visit-to-contact rate.</t>
  </si>
  <si>
    <t xml:space="preserve">MH-4.08, 4.11</t>
  </si>
  <si>
    <t xml:space="preserve">Progress measure 1.1</t>
  </si>
  <si>
    <t xml:space="preserve">MH-5.02</t>
  </si>
  <si>
    <t xml:space="preserve">Build 1.2 Lead → MQL</t>
  </si>
  <si>
    <t xml:space="preserve">Segments, nurture emails and workflows, lead scoring, lifecycle automation. Client approves copy. Measure: lead-to-MQL rate.</t>
  </si>
  <si>
    <t xml:space="preserve">MH-5.01, 4.07</t>
  </si>
  <si>
    <t xml:space="preserve">Progress measure 1.2</t>
  </si>
  <si>
    <t xml:space="preserve">MH-5.03</t>
  </si>
  <si>
    <t xml:space="preserve">Build 1.3 MQL → Meeting</t>
  </si>
  <si>
    <t xml:space="preserve">MQL definition agreed with sales, owner assignment, notifications, follow-up SLA, meetings link in nurture. Measure: MQL-to-meeting rate.</t>
  </si>
  <si>
    <t xml:space="preserve">Progress measure 1.3</t>
  </si>
  <si>
    <t xml:space="preserve">MH-5.04</t>
  </si>
  <si>
    <t xml:space="preserve">Build 1.4 Subscriber → Engaged (if bought)</t>
  </si>
  <si>
    <t xml:space="preserve">Newsletter or content program, subscription preferences, re-engagement and sunset flows. Measure: email click rate, engaged contacts.</t>
  </si>
  <si>
    <t xml:space="preserve">Progress measure 1.4</t>
  </si>
  <si>
    <t xml:space="preserve">MH-5.05</t>
  </si>
  <si>
    <t xml:space="preserve">Build 1.0 Stranger → Visitor (if bought)</t>
  </si>
  <si>
    <t xml:space="preserve">Campaigns and UTMs, ad audiences and conversion events, social publishing, SEO recommendations. Measure: sessions by source.</t>
  </si>
  <si>
    <t xml:space="preserve">Progress measure 1.0</t>
  </si>
  <si>
    <t xml:space="preserve">MH-5.06</t>
  </si>
  <si>
    <t xml:space="preserve">Migration: rebuild and switch off old tool</t>
  </si>
  <si>
    <t xml:space="preserve">Rebuild templates and active automations from the old tool, send in parallel once, then switch the old tool off.</t>
  </si>
  <si>
    <t xml:space="preserve">MH-4.06, 4.07</t>
  </si>
  <si>
    <t xml:space="preserve">MH-5.07</t>
  </si>
  <si>
    <t xml:space="preserve">Website: landing pages &amp; blog</t>
  </si>
  <si>
    <t xml:space="preserve">Migrate landing pages and blog posts within the agreed limit; redirects set.</t>
  </si>
  <si>
    <t xml:space="preserve">MH-5.08</t>
  </si>
  <si>
    <t xml:space="preserve">First campaign live</t>
  </si>
  <si>
    <t xml:space="preserve">Campaign with UTMs and assets, launched with the client.</t>
  </si>
  <si>
    <t xml:space="preserve">MH-5.01, MH-5.02</t>
  </si>
  <si>
    <t xml:space="preserve">HubSpot campaigns</t>
  </si>
  <si>
    <t xml:space="preserve">MH-5.09</t>
  </si>
  <si>
    <t xml:space="preserve">Performance reporting</t>
  </si>
  <si>
    <t xml:space="preserve">Marketing performance dashboard and funnel by progress measure; revenue attribution on Enterprise.</t>
  </si>
  <si>
    <t xml:space="preserve">MH-5.10</t>
  </si>
  <si>
    <t xml:space="preserve">AI / Breeze setup</t>
  </si>
  <si>
    <t xml:space="preserve">Brand voice and content tools, only within the AI terms in the agreement.</t>
  </si>
  <si>
    <t xml:space="preserve">SH-5.01</t>
  </si>
  <si>
    <t xml:space="preserve">Build 2.1 Lead → Contacted</t>
  </si>
  <si>
    <t xml:space="preserve">Lead rotation, task queues, a first-touch sequence and new-lead notifications. Measure: share of leads contacted within 24 hours.</t>
  </si>
  <si>
    <t xml:space="preserve">SH-4.03, 4.11</t>
  </si>
  <si>
    <t xml:space="preserve">Progress measure 2.1</t>
  </si>
  <si>
    <t xml:space="preserve">SH-5.02</t>
  </si>
  <si>
    <t xml:space="preserve">Build 2.2 Meeting → Qualified deal</t>
  </si>
  <si>
    <t xml:space="preserve">Meetings links per rep, qualification properties, deal creation from meetings, call playbooks. Measure: meeting-to-deal rate.</t>
  </si>
  <si>
    <t xml:space="preserve">Progress measure 2.2</t>
  </si>
  <si>
    <t xml:space="preserve">SH-5.03</t>
  </si>
  <si>
    <t xml:space="preserve">Build 3.1 Deal → Proposal sent (if bought)</t>
  </si>
  <si>
    <t xml:space="preserve">Stage-based tasks and reminders, deal workflows, quote steps in the pipeline. Measure: stage conversion and days in stage.</t>
  </si>
  <si>
    <t xml:space="preserve">Progress measure 3.1</t>
  </si>
  <si>
    <t xml:space="preserve">SH-5.04</t>
  </si>
  <si>
    <t xml:space="preserve">Build 3.2 Proposal → Closed won</t>
  </si>
  <si>
    <t xml:space="preserve">Quotes and e-signature in the flow, a closed-won handoff workflow, closed-lost reasons. Measure: win rate and sales cycle length.</t>
  </si>
  <si>
    <t xml:space="preserve">Progress measure 3.2</t>
  </si>
  <si>
    <t xml:space="preserve">SH-5.05</t>
  </si>
  <si>
    <t xml:space="preserve">Templates, snippets &amp; sequences</t>
  </si>
  <si>
    <t xml:space="preserve">Email templates, snippets and sequences per persona and stage, approved by the sales lead.</t>
  </si>
  <si>
    <t xml:space="preserve">SH-5.06</t>
  </si>
  <si>
    <t xml:space="preserve">Sales reporting &amp; forecasting</t>
  </si>
  <si>
    <t xml:space="preserve">Pipeline dashboard, forecast, goals or quotas, rep activity report.</t>
  </si>
  <si>
    <t xml:space="preserve">SH-5.07</t>
  </si>
  <si>
    <t xml:space="preserve">AI / Breeze for sales</t>
  </si>
  <si>
    <t xml:space="preserve">Prospecting and deal tools, only within the AI terms in the agreement.</t>
  </si>
  <si>
    <t xml:space="preserve">SV-5.01</t>
  </si>
  <si>
    <t xml:space="preserve">Build 4.1 Ticket → Resolved</t>
  </si>
  <si>
    <t xml:space="preserve">Routing, SLA alerts, ticket automation, snippets and templates, escalation workflows. Measure: time to first response and time to close.</t>
  </si>
  <si>
    <t xml:space="preserve">SV-4.05, 4.11</t>
  </si>
  <si>
    <t xml:space="preserve">Progress measure 4.1</t>
  </si>
  <si>
    <t xml:space="preserve">SV-5.02</t>
  </si>
  <si>
    <t xml:space="preserve">Build 4.2 Question → Self-served</t>
  </si>
  <si>
    <t xml:space="preserve">Knowledge base structure and the top 20 articles, customer portal if bought, AI chat within the AI terms. Measure: knowledge base views vs new tickets.</t>
  </si>
  <si>
    <t xml:space="preserve">Progress measure 4.2</t>
  </si>
  <si>
    <t xml:space="preserve">SV-5.03</t>
  </si>
  <si>
    <t xml:space="preserve">Build 4.3 Customer → Renewed (if bought)</t>
  </si>
  <si>
    <t xml:space="preserve">CSAT or NPS surveys, customer success workspace, health scores, renewal reminders. Measure: survey response, health score and renewal rate.</t>
  </si>
  <si>
    <t xml:space="preserve">Progress measure 4.3</t>
  </si>
  <si>
    <t xml:space="preserve">SV-5.04</t>
  </si>
  <si>
    <t xml:space="preserve">Service reporting</t>
  </si>
  <si>
    <t xml:space="preserve">Help desk dashboard, SLA report, agent performance, CSAT trend.</t>
  </si>
  <si>
    <t xml:space="preserve">SV-5.05</t>
  </si>
  <si>
    <t xml:space="preserve">AI / Breeze for service</t>
  </si>
  <si>
    <t xml:space="preserve">Customer agent and help desk AI tools, only within the AI terms in the agreement.</t>
  </si>
  <si>
    <t xml:space="preserve">6.01</t>
  </si>
  <si>
    <t xml:space="preserve">P6 · Training &amp; adoption</t>
  </si>
  <si>
    <t xml:space="preserve">Confirm training plan</t>
  </si>
  <si>
    <t xml:space="preserve">Who needs which modules (Training tab), from the intake.</t>
  </si>
  <si>
    <t xml:space="preserve">Training tab</t>
  </si>
  <si>
    <t xml:space="preserve">Adoption check #1</t>
  </si>
  <si>
    <t xml:space="preserve">Logins, emails sent, workflows active, dashboards viewed. Flag low adoption in the weekly update.</t>
  </si>
  <si>
    <t xml:space="preserve">6.04</t>
  </si>
  <si>
    <t xml:space="preserve">Admin handbook (Supered Base)</t>
  </si>
  <si>
    <t xml:space="preserve">How the portal is set up: naming, properties, workflows, who owns what.</t>
  </si>
  <si>
    <t xml:space="preserve">Supered Base</t>
  </si>
  <si>
    <t xml:space="preserve">6.05</t>
  </si>
  <si>
    <t xml:space="preserve">Adoption check #2</t>
  </si>
  <si>
    <t xml:space="preserve">Same check before the final results review.</t>
  </si>
  <si>
    <t xml:space="preserve">MH-6.02</t>
  </si>
  <si>
    <t xml:space="preserve">Deliver Marketing Hub training</t>
  </si>
  <si>
    <t xml:space="preserve">Modules T1–T9 as Supered videos + practice in office hours, timed to when each feature ships.</t>
  </si>
  <si>
    <t xml:space="preserve">Supered + office hours</t>
  </si>
  <si>
    <t xml:space="preserve">SH-6.02</t>
  </si>
  <si>
    <t xml:space="preserve">Deliver Sales Hub training</t>
  </si>
  <si>
    <t xml:space="preserve">Modules S1–S5 as Supered videos + practice in office hours, timed to when each feature ships.</t>
  </si>
  <si>
    <t xml:space="preserve">SV-6.02</t>
  </si>
  <si>
    <t xml:space="preserve">Deliver Service Hub training</t>
  </si>
  <si>
    <t xml:space="preserve">Modules V1–V5 as Supered videos + practice in office hours, timed to when each feature ships.</t>
  </si>
  <si>
    <t xml:space="preserve">7.01</t>
  </si>
  <si>
    <t xml:space="preserve">P7 · Run cadence</t>
  </si>
  <si>
    <t xml:space="preserve">Office hours</t>
  </si>
  <si>
    <t xml:space="preserve">Bookable slots for questions, coaching and training practice.</t>
  </si>
  <si>
    <t xml:space="preserve">Weekly</t>
  </si>
  <si>
    <t xml:space="preserve">7.02</t>
  </si>
  <si>
    <t xml:space="preserve">Weekly update</t>
  </si>
  <si>
    <t xml:space="preserve">Drafted with AI, reviewed and sent by the Architect: work done and the strategic issue it moves, numbers vs baseline, issues found outside scope, next week, client to-dos.</t>
  </si>
  <si>
    <t xml:space="preserve">Weekly (Friday)</t>
  </si>
  <si>
    <t xml:space="preserve">Email, logged on the deal</t>
  </si>
  <si>
    <t xml:space="preserve">7.03</t>
  </si>
  <si>
    <t xml:space="preserve">Handle requests by urgency</t>
  </si>
  <si>
    <t xml:space="preserve">Every request gets logged with an urgency class and handled in that time ($250 per request; see Request Classes).</t>
  </si>
  <si>
    <t xml:space="preserve">As they come in</t>
  </si>
  <si>
    <t xml:space="preserve">Work: Request table</t>
  </si>
  <si>
    <t xml:space="preserve">7.04</t>
  </si>
  <si>
    <t xml:space="preserve">Log issues and 'not now' ideas</t>
  </si>
  <si>
    <t xml:space="preserve">Out-of-scope issues and client ideas go to the Request table as 'Not now', to sell later.</t>
  </si>
  <si>
    <t xml:space="preserve">7.05</t>
  </si>
  <si>
    <t xml:space="preserve">Health check</t>
  </si>
  <si>
    <t xml:space="preserve">Set Health (On track / At risk / Off track) and blockers. Escalate per the escalation path.</t>
  </si>
  <si>
    <t xml:space="preserve">Work: Customers row (Health)</t>
  </si>
  <si>
    <t xml:space="preserve">7.06</t>
  </si>
  <si>
    <t xml:space="preserve">Monthly Business Review</t>
  </si>
  <si>
    <t xml:space="preserve">Progress vs baseline, numbers trend, issues and opportunities. Architect leads; Phil optional.</t>
  </si>
  <si>
    <t xml:space="preserve">Monthly</t>
  </si>
  <si>
    <t xml:space="preserve">7.07</t>
  </si>
  <si>
    <t xml:space="preserve">Internal delivery review</t>
  </si>
  <si>
    <t xml:space="preserve">Phil + Architects: at-risk customers, capacity, blockers.</t>
  </si>
  <si>
    <t xml:space="preserve">Work: Portfolio</t>
  </si>
  <si>
    <t xml:space="preserve">P8 · What's next</t>
  </si>
  <si>
    <t xml:space="preserve">Prep next-phase options</t>
  </si>
  <si>
    <t xml:space="preserve">Results so far, issues found and 'not now' list → Option A and Option B. Phil reviews before the call.</t>
  </si>
  <si>
    <t xml:space="preserve">8.02</t>
  </si>
  <si>
    <t xml:space="preserve">Architect explains the long-term vision and the next phase as an A/B choice.</t>
  </si>
  <si>
    <t xml:space="preserve">8.03</t>
  </si>
  <si>
    <t xml:space="preserve">Next-phase proposal</t>
  </si>
  <si>
    <t xml:space="preserve">New deal in the Sales Pipeline for the chosen offer.</t>
  </si>
  <si>
    <t xml:space="preserve">Deal</t>
  </si>
  <si>
    <t xml:space="preserve">8.04</t>
  </si>
  <si>
    <t xml:space="preserve">Final results review</t>
  </si>
  <si>
    <t xml:space="preserve">Before vs after for every progress measure, what we built, what's still open.</t>
  </si>
  <si>
    <t xml:space="preserve">Meeting + dashboard</t>
  </si>
  <si>
    <t xml:space="preserve">8.05</t>
  </si>
  <si>
    <t xml:space="preserve">Supered plan archived, project marked Completed, feedback and testimonial asked for.</t>
  </si>
  <si>
    <t xml:space="preserve">Work + Supered</t>
  </si>
  <si>
    <t xml:space="preserve">9.01</t>
  </si>
  <si>
    <t xml:space="preserve">P9 · After the program</t>
  </si>
  <si>
    <t xml:space="preserve">Monthly KPI snapshot</t>
  </si>
  <si>
    <t xml:space="preserve">Progress-measure dashboard emailed with 3 short notes from the Architect.</t>
  </si>
  <si>
    <t xml:space="preserve">Monthly × 6</t>
  </si>
  <si>
    <t xml:space="preserve">Scheduled dashboard email</t>
  </si>
  <si>
    <t xml:space="preserve">9.02</t>
  </si>
  <si>
    <t xml:space="preserve">Portal health alerts</t>
  </si>
  <si>
    <t xml:space="preserve">Watch for deliverability drops, workflow errors, form submissions down 30%+. Tell the client when one fires.</t>
  </si>
  <si>
    <t xml:space="preserve">Ongoing</t>
  </si>
  <si>
    <t xml:space="preserve">HubSpot alerts</t>
  </si>
  <si>
    <t xml:space="preserve">9.03</t>
  </si>
  <si>
    <t xml:space="preserve">Check-in call: month 3</t>
  </si>
  <si>
    <t xml:space="preserve">30 minutes: numbers, what's working, what's next.</t>
  </si>
  <si>
    <t xml:space="preserve">9.04</t>
  </si>
  <si>
    <t xml:space="preserve">Paid offer conversation: month 5</t>
  </si>
  <si>
    <t xml:space="preserve">Present team support, internal capacity and one-initiative-a-month before monitoring ends.</t>
  </si>
  <si>
    <t xml:space="preserve">9.05</t>
  </si>
  <si>
    <t xml:space="preserve">Check-in call: month 6</t>
  </si>
  <si>
    <t xml:space="preserve">Final monitoring check-in; confirm the paid offer or close monitoring.</t>
  </si>
  <si>
    <t xml:space="preserve">Tasks by owner</t>
  </si>
  <si>
    <t xml:space="preserve"># tasks</t>
  </si>
  <si>
    <t xml:space="preserve">Total</t>
  </si>
  <si>
    <t xml:space="preserve">Name each one '&lt;Client&gt; 1.1 Visitor to Lead', like the existing Factory records.</t>
  </si>
  <si>
    <t xml:space="preserve">Progress measure</t>
  </si>
  <si>
    <t xml:space="preserve">What it measures</t>
  </si>
  <si>
    <t xml:space="preserve">HubSpot report</t>
  </si>
  <si>
    <t xml:space="preserve">Built by tasks</t>
  </si>
  <si>
    <t xml:space="preserve">0.1</t>
  </si>
  <si>
    <t xml:space="preserve">Database → Marketable database</t>
  </si>
  <si>
    <t xml:space="preserve">Every Marketing Hub customer</t>
  </si>
  <si>
    <t xml:space="preserve">% of contacts with lifecycle stage and original source set; marketable contacts; bounce rate under 2%.</t>
  </si>
  <si>
    <t xml:space="preserve">Contacts by lifecycle stage; email health</t>
  </si>
  <si>
    <t xml:space="preserve">4.05, MH-4.06, 4.07</t>
  </si>
  <si>
    <t xml:space="preserve">1.1</t>
  </si>
  <si>
    <t xml:space="preserve">Visitor → Lead</t>
  </si>
  <si>
    <t xml:space="preserve">Visit-to-contact conversion rate; new contacts from forms per month.</t>
  </si>
  <si>
    <t xml:space="preserve">Sessions vs new contacts by source</t>
  </si>
  <si>
    <t xml:space="preserve">MH-5.01, MH-4.08</t>
  </si>
  <si>
    <t xml:space="preserve">1.2</t>
  </si>
  <si>
    <t xml:space="preserve">Lead → MQL</t>
  </si>
  <si>
    <t xml:space="preserve">Lead-to-MQL rate; MQLs per month.</t>
  </si>
  <si>
    <t xml:space="preserve">Lifecycle stage funnel</t>
  </si>
  <si>
    <t xml:space="preserve">1.3</t>
  </si>
  <si>
    <t xml:space="preserve">MQL → Meeting</t>
  </si>
  <si>
    <t xml:space="preserve">MQL-to-meeting rate; time to first sales touch.</t>
  </si>
  <si>
    <t xml:space="preserve">Funnel + meetings booked by source</t>
  </si>
  <si>
    <t xml:space="preserve">1.0</t>
  </si>
  <si>
    <t xml:space="preserve">Stranger → Visitor</t>
  </si>
  <si>
    <t xml:space="preserve">When ads, SEO or content is bought</t>
  </si>
  <si>
    <t xml:space="preserve">Sessions per month by source.</t>
  </si>
  <si>
    <t xml:space="preserve">Traffic analytics by source</t>
  </si>
  <si>
    <t xml:space="preserve">1.4</t>
  </si>
  <si>
    <t xml:space="preserve">Subscriber → Engaged</t>
  </si>
  <si>
    <t xml:space="preserve">When email programs are bought</t>
  </si>
  <si>
    <t xml:space="preserve">Email click rate; contacts engaged in the last 90 days.</t>
  </si>
  <si>
    <t xml:space="preserve">Email performance; engagement segment size</t>
  </si>
  <si>
    <t xml:space="preserve">2.1</t>
  </si>
  <si>
    <t xml:space="preserve">Lead → Contacted</t>
  </si>
  <si>
    <t xml:space="preserve">Every Sales Hub customer</t>
  </si>
  <si>
    <t xml:space="preserve">Share of leads contacted within 24 hours; time to first touch.</t>
  </si>
  <si>
    <t xml:space="preserve">Lead response time; contacts by lead status</t>
  </si>
  <si>
    <t xml:space="preserve">2.2</t>
  </si>
  <si>
    <t xml:space="preserve">Meeting → Qualified deal</t>
  </si>
  <si>
    <t xml:space="preserve">Meeting-to-deal rate.</t>
  </si>
  <si>
    <t xml:space="preserve">Meetings booked vs deals created</t>
  </si>
  <si>
    <t xml:space="preserve">3.1</t>
  </si>
  <si>
    <t xml:space="preserve">Deal → Proposal sent</t>
  </si>
  <si>
    <t xml:space="preserve">When pipeline automation is bought</t>
  </si>
  <si>
    <t xml:space="preserve">Stage conversion; days in stage.</t>
  </si>
  <si>
    <t xml:space="preserve">Deal stage funnel</t>
  </si>
  <si>
    <t xml:space="preserve">3.2</t>
  </si>
  <si>
    <t xml:space="preserve">Proposal → Closed won</t>
  </si>
  <si>
    <t xml:space="preserve">Win rate; sales cycle length.</t>
  </si>
  <si>
    <t xml:space="preserve">Deals won vs lost; cycle length</t>
  </si>
  <si>
    <t xml:space="preserve">4.1</t>
  </si>
  <si>
    <t xml:space="preserve">Ticket → Resolved</t>
  </si>
  <si>
    <t xml:space="preserve">Every Service Hub customer</t>
  </si>
  <si>
    <t xml:space="preserve">Time to first response; time to close; SLA hit rate.</t>
  </si>
  <si>
    <t xml:space="preserve">Help desk and SLA reports</t>
  </si>
  <si>
    <t xml:space="preserve">4.2</t>
  </si>
  <si>
    <t xml:space="preserve">Question → Self-served</t>
  </si>
  <si>
    <t xml:space="preserve">Knowledge base views vs new tickets.</t>
  </si>
  <si>
    <t xml:space="preserve">Knowledge base and ticket volume</t>
  </si>
  <si>
    <t xml:space="preserve">4.3</t>
  </si>
  <si>
    <t xml:space="preserve">Customer → Renewed</t>
  </si>
  <si>
    <t xml:space="preserve">When customer success is bought</t>
  </si>
  <si>
    <t xml:space="preserve">Survey response, health score, renewal rate.</t>
  </si>
  <si>
    <t xml:space="preserve">Feedback surveys; customer success workspace</t>
  </si>
  <si>
    <t xml:space="preserve">$250 per request. Recommended rules and urgency classes.</t>
  </si>
  <si>
    <t xml:space="preserve">Rules</t>
  </si>
  <si>
    <t xml:space="preserve">1. One request = one deliverable that takes up to about 2 hours (one email, one form, one workflow change, one report).</t>
  </si>
  <si>
    <t xml:space="preserve">2. Bigger than that becomes a scoped quote, not a request.</t>
  </si>
  <si>
    <t xml:space="preserve">3. Anything in the customer's plan (Task Template) is never a request.</t>
  </si>
  <si>
    <t xml:space="preserve">Urgency</t>
  </si>
  <si>
    <t xml:space="preserve">What it is</t>
  </si>
  <si>
    <t xml:space="preserve">Response and turnaround</t>
  </si>
  <si>
    <t xml:space="preserve">Price</t>
  </si>
  <si>
    <t xml:space="preserve">Critical</t>
  </si>
  <si>
    <t xml:space="preserve">Something live is broken: forms not submitting, emails not sending, a workflow sending the wrong email, tracking down.</t>
  </si>
  <si>
    <t xml:space="preserve">Reply within 4 business hours; fixed within 1 business day.</t>
  </si>
  <si>
    <t xml:space="preserve">Free if it's in something we built; otherwise $250</t>
  </si>
  <si>
    <t xml:space="preserve">High</t>
  </si>
  <si>
    <t xml:space="preserve">Needed for a launch or deadline in the next 2 weeks.</t>
  </si>
  <si>
    <t xml:space="preserve">Reply within 1 business day; done within 5 business days.</t>
  </si>
  <si>
    <t xml:space="preserve">$250</t>
  </si>
  <si>
    <t xml:space="preserve">Standard</t>
  </si>
  <si>
    <t xml:space="preserve">A small new request with no hard deadline.</t>
  </si>
  <si>
    <t xml:space="preserve">Reply within 1 business day; done within 10 business days.</t>
  </si>
  <si>
    <t xml:space="preserve">Not now</t>
  </si>
  <si>
    <t xml:space="preserve">An idea or a bigger project for later.</t>
  </si>
  <si>
    <t xml:space="preserve">Logged and reviewed at MBRs and the 'what's next' call.</t>
  </si>
  <si>
    <t xml:space="preserve">Quoted when scoped</t>
  </si>
  <si>
    <t xml:space="preserve">Starts the day the program ends. Prices in yellow are still to be decided.</t>
  </si>
  <si>
    <t xml:space="preserve">Offer</t>
  </si>
  <si>
    <t xml:space="preserve">What's included</t>
  </si>
  <si>
    <t xml:space="preserve">KPI monitoring (6 months)</t>
  </si>
  <si>
    <t xml:space="preserve">Free</t>
  </si>
  <si>
    <t xml:space="preserve">Monthly KPI snapshot with Architect notes; portal health alerts; check-in calls at month 3 and month 6; requests still available at $250 each.</t>
  </si>
  <si>
    <t xml:space="preserve">Team support</t>
  </si>
  <si>
    <t xml:space="preserve">$1,670/mo (existing 'Monthly Plan – Standard', 1 task at a time)</t>
  </si>
  <si>
    <t xml:space="preserve">Same Architect, ongoing requests one at a time, weekly office hours.</t>
  </si>
  <si>
    <t xml:space="preserve">Build internal capacity</t>
  </si>
  <si>
    <t xml:space="preserve">To be priced</t>
  </si>
  <si>
    <t xml:space="preserve">Coach their in-house marketer or admin: monthly training plan, admin office hours, HubSpot certification path, help hiring a marketing ops role.</t>
  </si>
  <si>
    <t xml:space="preserve">One initiative a month</t>
  </si>
  <si>
    <t xml:space="preserve">One scoped project per month from the 'not now' list (a new nurture, a campaign, a report pack, another tool migration).</t>
  </si>
  <si>
    <t xml:space="preserve">Post-sale intake. 'Captured pre-sale' items are pre-filled and only confirmed.</t>
  </si>
  <si>
    <t xml:space="preserve">Question</t>
  </si>
  <si>
    <t xml:space="preserve">Field type</t>
  </si>
  <si>
    <t xml:space="preserve">Required</t>
  </si>
  <si>
    <t xml:space="preserve">Captured pre-sale?</t>
  </si>
  <si>
    <t xml:space="preserve">Why we ask</t>
  </si>
  <si>
    <t xml:space="preserve">Saved in</t>
  </si>
  <si>
    <t xml:space="preserve">Contacts</t>
  </si>
  <si>
    <t xml:space="preserve">Main point of contact (name, email, role)</t>
  </si>
  <si>
    <t xml:space="preserve">Text</t>
  </si>
  <si>
    <t xml:space="preserve">Yes (confirm)</t>
  </si>
  <si>
    <t xml:space="preserve">One owner for approvals and to-dos.</t>
  </si>
  <si>
    <t xml:space="preserve">Deal contact: POC</t>
  </si>
  <si>
    <t xml:space="preserve">Supporters who should get updates or training</t>
  </si>
  <si>
    <t xml:space="preserve">Multi-line text</t>
  </si>
  <si>
    <t xml:space="preserve">Partly</t>
  </si>
  <si>
    <t xml:space="preserve">Training plan and weekly update recipients.</t>
  </si>
  <si>
    <t xml:space="preserve">Deal contacts: Supporter</t>
  </si>
  <si>
    <t xml:space="preserve">Who controls your DNS / IT?</t>
  </si>
  <si>
    <t xml:space="preserve">Email authentication and domain connection.</t>
  </si>
  <si>
    <t xml:space="preserve">Customer project</t>
  </si>
  <si>
    <t xml:space="preserve">Preferred channel for quick questions</t>
  </si>
  <si>
    <t xml:space="preserve">Dropdown: Email / Slack Connect / Teams</t>
  </si>
  <si>
    <t xml:space="preserve">How office-hours follow-ups happen.</t>
  </si>
  <si>
    <t xml:space="preserve">Time zone and best days for office hours</t>
  </si>
  <si>
    <t xml:space="preserve">Office hours slots.</t>
  </si>
  <si>
    <t xml:space="preserve">Goals</t>
  </si>
  <si>
    <t xml:space="preserve">In one sentence: from where to where? (pre-filled from the sale)</t>
  </si>
  <si>
    <t xml:space="preserve">The goal every update ties back to.</t>
  </si>
  <si>
    <t xml:space="preserve">Top 3 results you want by the end of the program</t>
  </si>
  <si>
    <t xml:space="preserve">Prioritizes the build.</t>
  </si>
  <si>
    <t xml:space="preserve">How do you report marketing results today, and to whom?</t>
  </si>
  <si>
    <t xml:space="preserve">Shapes dashboards and MBRs.</t>
  </si>
  <si>
    <t xml:space="preserve">Current numbers: monthly sessions, leads, MQLs, meetings, customers</t>
  </si>
  <si>
    <t xml:space="preserve">Number fields</t>
  </si>
  <si>
    <t xml:space="preserve">Baselines for progress measures.</t>
  </si>
  <si>
    <t xml:space="preserve">Progress measures</t>
  </si>
  <si>
    <t xml:space="preserve">Audience</t>
  </si>
  <si>
    <t xml:space="preserve">Who are your buyers? (personas / segments)</t>
  </si>
  <si>
    <t xml:space="preserve">Segments and nurture.</t>
  </si>
  <si>
    <t xml:space="preserve">How do you define a marketing-qualified lead today?</t>
  </si>
  <si>
    <t xml:space="preserve">Progress measures 1.2 and 1.3.</t>
  </si>
  <si>
    <t xml:space="preserve">Marketing today</t>
  </si>
  <si>
    <t xml:space="preserve">Channels you use</t>
  </si>
  <si>
    <t xml:space="preserve">Checkboxes: SEO, Paid search, Paid social, Organic social, Email, Events/Webinars, Partners, Outbound</t>
  </si>
  <si>
    <t xml:space="preserve">Integrations and optional progress measures.</t>
  </si>
  <si>
    <t xml:space="preserve">Campaigns or launches planned in the next 90 days</t>
  </si>
  <si>
    <t xml:space="preserve">Pick the first campaign.</t>
  </si>
  <si>
    <t xml:space="preserve">Who on your team will run HubSpot, and hours per week</t>
  </si>
  <si>
    <t xml:space="preserve">Training scope and a realistic timeline.</t>
  </si>
  <si>
    <t xml:space="preserve">Other agencies or freelancers involved</t>
  </si>
  <si>
    <t xml:space="preserve">Avoid overlap.</t>
  </si>
  <si>
    <t xml:space="preserve">Approvals</t>
  </si>
  <si>
    <t xml:space="preserve">Who approves emails/pages before they go live, and how fast?</t>
  </si>
  <si>
    <t xml:space="preserve">Sign-off turnaround in the plan.</t>
  </si>
  <si>
    <t xml:space="preserve">Tech</t>
  </si>
  <si>
    <t xml:space="preserve">Marketing Hub tier</t>
  </si>
  <si>
    <t xml:space="preserve">Dropdown: Professional / Enterprise</t>
  </si>
  <si>
    <t xml:space="preserve">Which setup items apply.</t>
  </si>
  <si>
    <t xml:space="preserve">Website platform and who can edit it</t>
  </si>
  <si>
    <t xml:space="preserve">Dropdown + text</t>
  </si>
  <si>
    <t xml:space="preserve">Website connection.</t>
  </si>
  <si>
    <t xml:space="preserve">Email domain you send from</t>
  </si>
  <si>
    <t xml:space="preserve">Email authentication.</t>
  </si>
  <si>
    <t xml:space="preserve">Which email/marketing tool are you moving from, and what's active in it today?</t>
  </si>
  <si>
    <t xml:space="preserve">Text + multi-line text</t>
  </si>
  <si>
    <t xml:space="preserve">Migration plan.</t>
  </si>
  <si>
    <t xml:space="preserve">Where do your contacts live today and roughly how many?</t>
  </si>
  <si>
    <t xml:space="preserve">Text + number</t>
  </si>
  <si>
    <t xml:space="preserve">Import scope and marketing contacts.</t>
  </si>
  <si>
    <t xml:space="preserve">Landing pages and blog posts to bring over (links or count)</t>
  </si>
  <si>
    <t xml:space="preserve">Website scope within the limit.</t>
  </si>
  <si>
    <t xml:space="preserve">Other tools to connect (CRM, ads, webinar, chat, analytics)</t>
  </si>
  <si>
    <t xml:space="preserve">Integrations.</t>
  </si>
  <si>
    <t xml:space="preserve">Compliance</t>
  </si>
  <si>
    <t xml:space="preserve">Regions you market to and consent rules you follow</t>
  </si>
  <si>
    <t xml:space="preserve">Checkboxes: US, Canada (CASL), EU/UK (GDPR), Other</t>
  </si>
  <si>
    <t xml:space="preserve">Subscription types, consent, cookie banner.</t>
  </si>
  <si>
    <t xml:space="preserve">Industry regulations (e.g. HIPAA, financial)</t>
  </si>
  <si>
    <t xml:space="preserve">Data handling limits.</t>
  </si>
  <si>
    <t xml:space="preserve">Brand</t>
  </si>
  <si>
    <t xml:space="preserve">Upload brand guide, logos, fonts, email templates</t>
  </si>
  <si>
    <t xml:space="preserve">File upload</t>
  </si>
  <si>
    <t xml:space="preserve">Brand kit and templates.</t>
  </si>
  <si>
    <t xml:space="preserve">Access</t>
  </si>
  <si>
    <t xml:space="preserve">Checklist: HubSpot access, website admin, GA4/GTM, ad accounts, social accounts, old tool login</t>
  </si>
  <si>
    <t xml:space="preserve">Checkboxes</t>
  </si>
  <si>
    <t xml:space="preserve">One list so access isn't chased for weeks.</t>
  </si>
  <si>
    <t xml:space="preserve">Which CRM or spreadsheet are you moving from, and how many open deals?</t>
  </si>
  <si>
    <t xml:space="preserve">If Sales Hub</t>
  </si>
  <si>
    <t xml:space="preserve">CRM migration scope.</t>
  </si>
  <si>
    <t xml:space="preserve">Customers row</t>
  </si>
  <si>
    <t xml:space="preserve">Your sales stages today, and what has to be true to move a deal forward</t>
  </si>
  <si>
    <t xml:space="preserve">Pipeline design.</t>
  </si>
  <si>
    <t xml:space="preserve">How many reps, and how leads are assigned today</t>
  </si>
  <si>
    <t xml:space="preserve">Seats and lead rotation.</t>
  </si>
  <si>
    <t xml:space="preserve">Which help desk are you moving from, and which channels do customers use (email, chat, phone)?</t>
  </si>
  <si>
    <t xml:space="preserve">If Service Hub</t>
  </si>
  <si>
    <t xml:space="preserve">Channels and migration.</t>
  </si>
  <si>
    <t xml:space="preserve">Response and resolution times you promise customers today</t>
  </si>
  <si>
    <t xml:space="preserve">SLAs.</t>
  </si>
  <si>
    <t xml:space="preserve">Do you run surveys (CSAT, NPS) or track renewals?</t>
  </si>
  <si>
    <t xml:space="preserve">Progress measure 4.3.</t>
  </si>
  <si>
    <t xml:space="preserve">Marketing Hub Professional and Enterprise. 'Ent only' items apply to Enterprise customers.</t>
  </si>
  <si>
    <t xml:space="preserve">Item</t>
  </si>
  <si>
    <t xml:space="preserve">Details</t>
  </si>
  <si>
    <t xml:space="preserve">Tier</t>
  </si>
  <si>
    <t xml:space="preserve">Task ID</t>
  </si>
  <si>
    <t xml:space="preserve">Account</t>
  </si>
  <si>
    <t xml:space="preserve">Users &amp; permission sets</t>
  </si>
  <si>
    <t xml:space="preserve">Invite client users, set permissions by role, teams if needed.</t>
  </si>
  <si>
    <t xml:space="preserve">Pro &amp; Ent</t>
  </si>
  <si>
    <t xml:space="preserve">Require 2FA</t>
  </si>
  <si>
    <t xml:space="preserve">For every user.</t>
  </si>
  <si>
    <t xml:space="preserve">Single sign-on (SSO)</t>
  </si>
  <si>
    <t xml:space="preserve">If the client uses an identity provider.</t>
  </si>
  <si>
    <t xml:space="preserve">Ent only</t>
  </si>
  <si>
    <t xml:space="preserve">Brands / business units</t>
  </si>
  <si>
    <t xml:space="preserve">If they market more than one brand.</t>
  </si>
  <si>
    <t xml:space="preserve">Sandbox account</t>
  </si>
  <si>
    <t xml:space="preserve">Test workflows and changes before production.</t>
  </si>
  <si>
    <t xml:space="preserve">Tracking</t>
  </si>
  <si>
    <t xml:space="preserve">Tracking code on every domain</t>
  </si>
  <si>
    <t xml:space="preserve">CMS plugin or GTM. Verify with a test visit.</t>
  </si>
  <si>
    <t xml:space="preserve">Exclude internal traffic</t>
  </si>
  <si>
    <t xml:space="preserve">Client and RevGravy IPs/domains.</t>
  </si>
  <si>
    <t xml:space="preserve">Cookie consent banner</t>
  </si>
  <si>
    <t xml:space="preserve">Per the regions in the intake.</t>
  </si>
  <si>
    <t xml:space="preserve">Domains</t>
  </si>
  <si>
    <t xml:space="preserve">Connect content domain</t>
  </si>
  <si>
    <t xml:space="preserve">Landing pages / blog subdomain (e.g. go.client.com).</t>
  </si>
  <si>
    <t xml:space="preserve">Email sending domain authentication</t>
  </si>
  <si>
    <t xml:space="preserve">SPF, DKIM, DMARC added by the client's DNS contact; verified in HubSpot.</t>
  </si>
  <si>
    <t xml:space="preserve">Architect + client IT</t>
  </si>
  <si>
    <t xml:space="preserve">Email</t>
  </si>
  <si>
    <t xml:space="preserve">Subscription types</t>
  </si>
  <si>
    <t xml:space="preserve">Per content type; mapped to consent rules.</t>
  </si>
  <si>
    <t xml:space="preserve">Footer, address, default sender</t>
  </si>
  <si>
    <t xml:space="preserve">Compliant footer, real sender name.</t>
  </si>
  <si>
    <t xml:space="preserve">Brand kit &amp; email templates</t>
  </si>
  <si>
    <t xml:space="preserve">Logo, colors, fonts; 2–3 reusable templates.</t>
  </si>
  <si>
    <t xml:space="preserve">Data</t>
  </si>
  <si>
    <t xml:space="preserve">Property audit</t>
  </si>
  <si>
    <t xml:space="preserve">Remove unused, add what the progress measures need. Naming convention documented.</t>
  </si>
  <si>
    <t xml:space="preserve">Lifecycle stages &amp; lead status</t>
  </si>
  <si>
    <t xml:space="preserve">Definitions agreed with the client; automation set.</t>
  </si>
  <si>
    <t xml:space="preserve">Marketing contact rules</t>
  </si>
  <si>
    <t xml:space="preserve">Who is a marketing contact; keeps billing under control.</t>
  </si>
  <si>
    <t xml:space="preserve">Custom behavioral events</t>
  </si>
  <si>
    <t xml:space="preserve">Track key product or site actions.</t>
  </si>
  <si>
    <t xml:space="preserve">Old tool inventory</t>
  </si>
  <si>
    <t xml:space="preserve">Lists, segments, templates, active automations, integrations.</t>
  </si>
  <si>
    <t xml:space="preserve">Export lists with consent</t>
  </si>
  <si>
    <t xml:space="preserve">Including unsubscribes and hard bounces to suppress.</t>
  </si>
  <si>
    <t xml:space="preserve">Import contacts &amp; companies</t>
  </si>
  <si>
    <t xml:space="preserve">Mapped import, consent mapped, unsubscribes suppressed, dedupe, associations.</t>
  </si>
  <si>
    <t xml:space="preserve">Data hygiene workflows</t>
  </si>
  <si>
    <t xml:space="preserve">Formatting, required fields, duplicates.</t>
  </si>
  <si>
    <t xml:space="preserve">HubSpot forms on the site</t>
  </si>
  <si>
    <t xml:space="preserve">Replace or collect existing site forms.</t>
  </si>
  <si>
    <t xml:space="preserve">CTAs, chat &amp; meetings on the site</t>
  </si>
  <si>
    <t xml:space="preserve">Placed on the pages that matter.</t>
  </si>
  <si>
    <t xml:space="preserve">Landing page &amp; blog templates</t>
  </si>
  <si>
    <t xml:space="preserve">Matching the brand kit.</t>
  </si>
  <si>
    <t xml:space="preserve">GA4</t>
  </si>
  <si>
    <t xml:space="preserve">Connected for reporting.</t>
  </si>
  <si>
    <t xml:space="preserve">Ad accounts</t>
  </si>
  <si>
    <t xml:space="preserve">Google, Meta, LinkedIn with conversion events.</t>
  </si>
  <si>
    <t xml:space="preserve">Social accounts</t>
  </si>
  <si>
    <t xml:space="preserve">Connected for publishing and reporting.</t>
  </si>
  <si>
    <t xml:space="preserve">Webinar, Slack, other apps</t>
  </si>
  <si>
    <t xml:space="preserve">As listed in the intake.</t>
  </si>
  <si>
    <t xml:space="preserve">CRM sync (if CRM isn't HubSpot)</t>
  </si>
  <si>
    <t xml:space="preserve">Field mapping, sync rules, lifecycle alignment.</t>
  </si>
  <si>
    <t xml:space="preserve">Reporting</t>
  </si>
  <si>
    <t xml:space="preserve">One report per progress measure; baseline vs now.</t>
  </si>
  <si>
    <t xml:space="preserve">QA</t>
  </si>
  <si>
    <t xml:space="preserve">End-to-end test</t>
  </si>
  <si>
    <t xml:space="preserve">Visit → form → contact → workflow → email → notification.</t>
  </si>
  <si>
    <t xml:space="preserve">Lead capture</t>
  </si>
  <si>
    <t xml:space="preserve">Forms, CTAs, landing &amp; thank-you pages</t>
  </si>
  <si>
    <t xml:space="preserve">Per offer.</t>
  </si>
  <si>
    <t xml:space="preserve">Segmentation</t>
  </si>
  <si>
    <t xml:space="preserve">Core segments</t>
  </si>
  <si>
    <t xml:space="preserve">Persona, lifecycle, engagement, customers, suppression.</t>
  </si>
  <si>
    <t xml:space="preserve">Automation</t>
  </si>
  <si>
    <t xml:space="preserve">Nurture workflows &amp; emails</t>
  </si>
  <si>
    <t xml:space="preserve">Per persona / offer.</t>
  </si>
  <si>
    <t xml:space="preserve">Lead scoring</t>
  </si>
  <si>
    <t xml:space="preserve">Fit + engagement score; MQL threshold.</t>
  </si>
  <si>
    <t xml:space="preserve">MQL handoff</t>
  </si>
  <si>
    <t xml:space="preserve">Assignment, notifications, follow-up SLA.</t>
  </si>
  <si>
    <t xml:space="preserve">Re-engagement &amp; sunset flows</t>
  </si>
  <si>
    <t xml:space="preserve">Keeps the list healthy.</t>
  </si>
  <si>
    <t xml:space="preserve">Campaigns</t>
  </si>
  <si>
    <t xml:space="preserve">Campaigns, UTMs &amp; ad audiences</t>
  </si>
  <si>
    <t xml:space="preserve">Campaign object, UTM conventions, retargeting audiences.</t>
  </si>
  <si>
    <t xml:space="preserve">Rebuild templates &amp; automations</t>
  </si>
  <si>
    <t xml:space="preserve">Up to 5 templates; automations active today.</t>
  </si>
  <si>
    <t xml:space="preserve">Parallel send, then switch off the old tool</t>
  </si>
  <si>
    <t xml:space="preserve">One parallel send to compare, then cancel the old tool.</t>
  </si>
  <si>
    <t xml:space="preserve">Architect + Client POC</t>
  </si>
  <si>
    <t xml:space="preserve">Migrate landing pages &amp; blog</t>
  </si>
  <si>
    <t xml:space="preserve">Up to 10 landing pages + blog import; redirects set.</t>
  </si>
  <si>
    <t xml:space="preserve">Marketing performance dashboard</t>
  </si>
  <si>
    <t xml:space="preserve">Traffic, leads, MQLs, emails, campaigns.</t>
  </si>
  <si>
    <t xml:space="preserve">Revenue attribution reports</t>
  </si>
  <si>
    <t xml:space="preserve">Multi-touch attribution.</t>
  </si>
  <si>
    <t xml:space="preserve">AI</t>
  </si>
  <si>
    <t xml:space="preserve">Breeze / AI settings</t>
  </si>
  <si>
    <t xml:space="preserve">Brand voice and content tools within the agreed AI terms.</t>
  </si>
  <si>
    <t xml:space="preserve">Sales setup</t>
  </si>
  <si>
    <t xml:space="preserve">Assign Sales Hub seats</t>
  </si>
  <si>
    <t xml:space="preserve">One per rep and manager.</t>
  </si>
  <si>
    <t xml:space="preserve">Teams &amp; permission sets</t>
  </si>
  <si>
    <t xml:space="preserve">Reps see their own deals; managers see the team.</t>
  </si>
  <si>
    <t xml:space="preserve">Connect rep inboxes &amp; calendars</t>
  </si>
  <si>
    <t xml:space="preserve">Email logging and meetings booking work for every rep.</t>
  </si>
  <si>
    <t xml:space="preserve">Pipelines</t>
  </si>
  <si>
    <t xml:space="preserve">One pipeline per sales motion</t>
  </si>
  <si>
    <t xml:space="preserve">New business, renewals, partners, as needed.</t>
  </si>
  <si>
    <t xml:space="preserve">Stage exit criteria &amp; probabilities</t>
  </si>
  <si>
    <t xml:space="preserve">Written down and agreed with the sales lead.</t>
  </si>
  <si>
    <t xml:space="preserve">Required properties per stage</t>
  </si>
  <si>
    <t xml:space="preserve">Only what the stage really needs.</t>
  </si>
  <si>
    <t xml:space="preserve">Leads</t>
  </si>
  <si>
    <t xml:space="preserve">Lead status &amp; lifecycle definitions</t>
  </si>
  <si>
    <t xml:space="preserve">Agreed with marketing.</t>
  </si>
  <si>
    <t xml:space="preserve">Assignment rules</t>
  </si>
  <si>
    <t xml:space="preserve">Rotation or territory.</t>
  </si>
  <si>
    <t xml:space="preserve">Quotes</t>
  </si>
  <si>
    <t xml:space="preserve">Product library</t>
  </si>
  <si>
    <t xml:space="preserve">Products and prices the reps quote.</t>
  </si>
  <si>
    <t xml:space="preserve">Quote templates &amp; e-signature</t>
  </si>
  <si>
    <t xml:space="preserve">Branded template; signature flow tested.</t>
  </si>
  <si>
    <t xml:space="preserve">Field map approved by the client</t>
  </si>
  <si>
    <t xml:space="preserve">Old CRM fields → HubSpot properties.</t>
  </si>
  <si>
    <t xml:space="preserve">Import companies, contacts &amp; open deals</t>
  </si>
  <si>
    <t xml:space="preserve">With owners mapped.</t>
  </si>
  <si>
    <t xml:space="preserve">Import activity history</t>
  </si>
  <si>
    <t xml:space="preserve">Where the old CRM allows it.</t>
  </si>
  <si>
    <t xml:space="preserve">Calling and video meetings</t>
  </si>
  <si>
    <t xml:space="preserve">HubSpot calling or their provider; Zoom or Teams.</t>
  </si>
  <si>
    <t xml:space="preserve">LinkedIn Sales Navigator</t>
  </si>
  <si>
    <t xml:space="preserve">If they use it.</t>
  </si>
  <si>
    <t xml:space="preserve">Sales automation</t>
  </si>
  <si>
    <t xml:space="preserve">Lead rotation &amp; task queues</t>
  </si>
  <si>
    <t xml:space="preserve">New leads land with the right rep and in a queue.</t>
  </si>
  <si>
    <t xml:space="preserve">First-touch sequence</t>
  </si>
  <si>
    <t xml:space="preserve">Approved by the sales lead.</t>
  </si>
  <si>
    <t xml:space="preserve">Qualification properties &amp; playbooks</t>
  </si>
  <si>
    <t xml:space="preserve">Same questions on every discovery call.</t>
  </si>
  <si>
    <t xml:space="preserve">Closed-won handoff workflow</t>
  </si>
  <si>
    <t xml:space="preserve">Notifies onboarding or service with the deal context.</t>
  </si>
  <si>
    <t xml:space="preserve">Closed-lost reasons</t>
  </si>
  <si>
    <t xml:space="preserve">Required when a deal is lost.</t>
  </si>
  <si>
    <t xml:space="preserve">Sales reporting</t>
  </si>
  <si>
    <t xml:space="preserve">Pipeline dashboard &amp; forecast</t>
  </si>
  <si>
    <t xml:space="preserve">Pipeline by stage, forecast, goals.</t>
  </si>
  <si>
    <t xml:space="preserve">Service setup</t>
  </si>
  <si>
    <t xml:space="preserve">Assign Service Hub seats</t>
  </si>
  <si>
    <t xml:space="preserve">One per support agent and lead.</t>
  </si>
  <si>
    <t xml:space="preserve">Help desk workspace &amp; business hours</t>
  </si>
  <si>
    <t xml:space="preserve">Agents work tickets from one place.</t>
  </si>
  <si>
    <t xml:space="preserve">Channels</t>
  </si>
  <si>
    <t xml:space="preserve">Support email connected</t>
  </si>
  <si>
    <t xml:space="preserve">Replies go out from the help desk.</t>
  </si>
  <si>
    <t xml:space="preserve">Chat &amp; support form</t>
  </si>
  <si>
    <t xml:space="preserve">On the website and help pages.</t>
  </si>
  <si>
    <t xml:space="preserve">Tickets</t>
  </si>
  <si>
    <t xml:space="preserve">Ticket pipelines &amp; stages</t>
  </si>
  <si>
    <t xml:space="preserve">Matches how the team works today.</t>
  </si>
  <si>
    <t xml:space="preserve">Priority, category &amp; routing rules</t>
  </si>
  <si>
    <t xml:space="preserve">Tickets reach the right agent.</t>
  </si>
  <si>
    <t xml:space="preserve">Import open tickets &amp; history</t>
  </si>
  <si>
    <t xml:space="preserve">From the old help desk.</t>
  </si>
  <si>
    <t xml:space="preserve">Import knowledge base articles</t>
  </si>
  <si>
    <t xml:space="preserve">Then fix formatting and links.</t>
  </si>
  <si>
    <t xml:space="preserve">SLAs</t>
  </si>
  <si>
    <t xml:space="preserve">SLA rules by priority</t>
  </si>
  <si>
    <t xml:space="preserve">First response and time to close.</t>
  </si>
  <si>
    <t xml:space="preserve">Service automation</t>
  </si>
  <si>
    <t xml:space="preserve">Ticket automation &amp; snippets</t>
  </si>
  <si>
    <t xml:space="preserve">Auto-replies, assignment, saved replies.</t>
  </si>
  <si>
    <t xml:space="preserve">Knowledge base</t>
  </si>
  <si>
    <t xml:space="preserve">Structure &amp; top 20 articles</t>
  </si>
  <si>
    <t xml:space="preserve">Covers the most common questions.</t>
  </si>
  <si>
    <t xml:space="preserve">Feedback</t>
  </si>
  <si>
    <t xml:space="preserve">CSAT or NPS surveys</t>
  </si>
  <si>
    <t xml:space="preserve">Sent after tickets close or on a schedule.</t>
  </si>
  <si>
    <t xml:space="preserve">Customer success workspace &amp; health scores</t>
  </si>
  <si>
    <t xml:space="preserve">If customer success is bought.</t>
  </si>
  <si>
    <t xml:space="preserve">Help desk &amp; SLA dashboard</t>
  </si>
  <si>
    <t xml:space="preserve">Volume, response times, SLA hits, CSAT.</t>
  </si>
  <si>
    <t xml:space="preserve">Each module is short and timed to when the feature ships.</t>
  </si>
  <si>
    <t xml:space="preserve">Content</t>
  </si>
  <si>
    <t xml:space="preserve">Format</t>
  </si>
  <si>
    <t xml:space="preserve">Length</t>
  </si>
  <si>
    <t xml:space="preserve">T1 · HubSpot basics</t>
  </si>
  <si>
    <t xml:space="preserve">All client users</t>
  </si>
  <si>
    <t xml:space="preserve">Navigation, records, notifications, where to find help.</t>
  </si>
  <si>
    <t xml:space="preserve">Supered tour + video</t>
  </si>
  <si>
    <t xml:space="preserve">After access (≈ Day 7)</t>
  </si>
  <si>
    <t xml:space="preserve">10 min</t>
  </si>
  <si>
    <t xml:space="preserve">T2 · Contacts &amp; segments</t>
  </si>
  <si>
    <t xml:space="preserve">Marketing team</t>
  </si>
  <si>
    <t xml:space="preserve">Contact records, properties, segments, data hygiene habits.</t>
  </si>
  <si>
    <t xml:space="preserve">Video + office hours practice</t>
  </si>
  <si>
    <t xml:space="preserve">After data import (≈ Day 25)</t>
  </si>
  <si>
    <t xml:space="preserve">20 min</t>
  </si>
  <si>
    <t xml:space="preserve">T3 · Email marketing</t>
  </si>
  <si>
    <t xml:space="preserve">Build, test, send and analyze emails with your templates.</t>
  </si>
  <si>
    <t xml:space="preserve">Video + live build in office hours</t>
  </si>
  <si>
    <t xml:space="preserve">After email foundations (≈ Day 20)</t>
  </si>
  <si>
    <t xml:space="preserve">25 min</t>
  </si>
  <si>
    <t xml:space="preserve">T4 · Forms, landing pages &amp; CTAs</t>
  </si>
  <si>
    <t xml:space="preserve">Create and edit lead capture assets.</t>
  </si>
  <si>
    <t xml:space="preserve">Video</t>
  </si>
  <si>
    <t xml:space="preserve">After 1.1 ships (≈ Day 40)</t>
  </si>
  <si>
    <t xml:space="preserve">T5 · Workflows &amp; nurture</t>
  </si>
  <si>
    <t xml:space="preserve">HubSpot admin(s)</t>
  </si>
  <si>
    <t xml:space="preserve">Read, edit and safely clone workflows.</t>
  </si>
  <si>
    <t xml:space="preserve">Live session</t>
  </si>
  <si>
    <t xml:space="preserve">After 1.2 ships (≈ Day 55)</t>
  </si>
  <si>
    <t xml:space="preserve">30 min</t>
  </si>
  <si>
    <t xml:space="preserve">T6 · Campaigns, ads &amp; social</t>
  </si>
  <si>
    <t xml:space="preserve">Campaigns, UTMs, ads and social reporting.</t>
  </si>
  <si>
    <t xml:space="preserve">After first campaign (≈ Day 65)</t>
  </si>
  <si>
    <t xml:space="preserve">T7 · Reporting &amp; dashboards</t>
  </si>
  <si>
    <t xml:space="preserve">Marketing lead + leadership</t>
  </si>
  <si>
    <t xml:space="preserve">Read the progress-measure dashboard; build a report.</t>
  </si>
  <si>
    <t xml:space="preserve">Live at MBR #2</t>
  </si>
  <si>
    <t xml:space="preserve">≈ Day 60</t>
  </si>
  <si>
    <t xml:space="preserve">T8 · Lead handoff</t>
  </si>
  <si>
    <t xml:space="preserve">Marketing + sales</t>
  </si>
  <si>
    <t xml:space="preserve">MQL definition, notifications, follow-up SLA.</t>
  </si>
  <si>
    <t xml:space="preserve">After 1.3 ships (≈ Day 60)</t>
  </si>
  <si>
    <t xml:space="preserve">T9 · Admin handbook</t>
  </si>
  <si>
    <t xml:space="preserve">How your portal is built and how to maintain it.</t>
  </si>
  <si>
    <t xml:space="preserve">≈ Day 85</t>
  </si>
  <si>
    <t xml:space="preserve">Self-serve</t>
  </si>
  <si>
    <t xml:space="preserve">S1 · CRM every day</t>
  </si>
  <si>
    <t xml:space="preserve">Sales reps</t>
  </si>
  <si>
    <t xml:space="preserve">Records, tasks, inbox, logging calls and emails.</t>
  </si>
  <si>
    <t xml:space="preserve">After inboxes connect (≈ Day 14)</t>
  </si>
  <si>
    <t xml:space="preserve">S2 · Pipeline &amp; deals</t>
  </si>
  <si>
    <t xml:space="preserve">Sales reps + manager</t>
  </si>
  <si>
    <t xml:space="preserve">Moving deals, stage rules, required fields.</t>
  </si>
  <si>
    <t xml:space="preserve">After pipelines (≈ Day 20)</t>
  </si>
  <si>
    <t xml:space="preserve">S3 · Sequences &amp; templates</t>
  </si>
  <si>
    <t xml:space="preserve">Enroll, personalize and track sequences.</t>
  </si>
  <si>
    <t xml:space="preserve">After 2.1 ships (≈ Day 40)</t>
  </si>
  <si>
    <t xml:space="preserve">S4 · Quotes &amp; closing</t>
  </si>
  <si>
    <t xml:space="preserve">Build a quote, send it for signature, close the deal.</t>
  </si>
  <si>
    <t xml:space="preserve">After 3.2 ships (≈ Day 60)</t>
  </si>
  <si>
    <t xml:space="preserve">S5 · Forecast &amp; reports</t>
  </si>
  <si>
    <t xml:space="preserve">Sales manager</t>
  </si>
  <si>
    <t xml:space="preserve">Forecast, goals, pipeline and activity reports.</t>
  </si>
  <si>
    <t xml:space="preserve">V1 · Help desk basics</t>
  </si>
  <si>
    <t xml:space="preserve">Support team</t>
  </si>
  <si>
    <t xml:space="preserve">Working tickets, snippets, internal notes.</t>
  </si>
  <si>
    <t xml:space="preserve">After channels connect (≈ Day 18)</t>
  </si>
  <si>
    <t xml:space="preserve">V2 · SLAs &amp; routing</t>
  </si>
  <si>
    <t xml:space="preserve">Support lead</t>
  </si>
  <si>
    <t xml:space="preserve">How routing and SLAs work, and how to change them.</t>
  </si>
  <si>
    <t xml:space="preserve">After SLAs (≈ Day 25)</t>
  </si>
  <si>
    <t xml:space="preserve">V3 · Knowledge base</t>
  </si>
  <si>
    <t xml:space="preserve">Write, publish and update articles.</t>
  </si>
  <si>
    <t xml:space="preserve">After 4.2 ships (≈ Day 60)</t>
  </si>
  <si>
    <t xml:space="preserve">V4 · Feedback &amp; customer success</t>
  </si>
  <si>
    <t xml:space="preserve">Support lead + CS</t>
  </si>
  <si>
    <t xml:space="preserve">Read surveys and health scores, and follow up.</t>
  </si>
  <si>
    <t xml:space="preserve">After 4.3 ships (≈ Day 65)</t>
  </si>
  <si>
    <t xml:space="preserve">V5 · Service reports</t>
  </si>
  <si>
    <t xml:space="preserve">Help desk, SLA and CSAT reports.</t>
  </si>
  <si>
    <t xml:space="preserve">Every customer-facing touchpoint, in order.</t>
  </si>
  <si>
    <t xml:space="preserve">Touchpoint</t>
  </si>
  <si>
    <t xml:space="preserve">Timing</t>
  </si>
  <si>
    <t xml:space="preserve">Channel</t>
  </si>
  <si>
    <t xml:space="preserve">Welcome email #1</t>
  </si>
  <si>
    <t xml:space="preserve">Email from Phil</t>
  </si>
  <si>
    <t xml:space="preserve">Ops (automated)</t>
  </si>
  <si>
    <t xml:space="preserve">Welcome, Supered Action Plan link, kickoff booking link, first to-dos (access + intake).</t>
  </si>
  <si>
    <t xml:space="preserve">Welcome email #2</t>
  </si>
  <si>
    <t xml:space="preserve">Day 2</t>
  </si>
  <si>
    <t xml:space="preserve">How we work: office hours, weekly updates, requests and urgency classes ($250), escalation path, AI use.</t>
  </si>
  <si>
    <t xml:space="preserve">Access / intake reminders</t>
  </si>
  <si>
    <t xml:space="preserve">Day 3–5 if incomplete</t>
  </si>
  <si>
    <t xml:space="preserve">Friendly reminder listing the exact missing items.</t>
  </si>
  <si>
    <t xml:space="preserve">Supered announcement</t>
  </si>
  <si>
    <t xml:space="preserve">Day 2–3</t>
  </si>
  <si>
    <t xml:space="preserve">How Supered works: Bases, announcements, documentation.</t>
  </si>
  <si>
    <t xml:space="preserve">Kickoff (15 min)</t>
  </si>
  <si>
    <t xml:space="preserve">Video call</t>
  </si>
  <si>
    <t xml:space="preserve">Intros, plan, missing items, office hours, MBRs.</t>
  </si>
  <si>
    <t xml:space="preserve">Kickoff recap</t>
  </si>
  <si>
    <t xml:space="preserve">Within 24h of kickoff</t>
  </si>
  <si>
    <t xml:space="preserve">Decisions, owners, dates, client to-dos.</t>
  </si>
  <si>
    <t xml:space="preserve">Every Friday</t>
  </si>
  <si>
    <t xml:space="preserve">Architect (AI draft)</t>
  </si>
  <si>
    <t xml:space="preserve">1) Work done and the strategic issue it moves  2) Numbers vs baseline  3) Issues found outside scope  4) Next week  5) Your to-dos.</t>
  </si>
  <si>
    <t xml:space="preserve">Delivery announcement</t>
  </si>
  <si>
    <t xml:space="preserve">Each delivery</t>
  </si>
  <si>
    <t xml:space="preserve">Supered video</t>
  </si>
  <si>
    <t xml:space="preserve">Weekly slots</t>
  </si>
  <si>
    <t xml:space="preserve">Booking link</t>
  </si>
  <si>
    <t xml:space="preserve">Questions, coaching, training practice.</t>
  </si>
  <si>
    <t xml:space="preserve">MBR</t>
  </si>
  <si>
    <t xml:space="preserve">Monthly (≈ Day 30 and 60)</t>
  </si>
  <si>
    <t xml:space="preserve">Architect (Phil optional)</t>
  </si>
  <si>
    <t xml:space="preserve">Progress vs baseline, numbers trend, issues and opportunities.</t>
  </si>
  <si>
    <t xml:space="preserve">≈ 30 days before the end</t>
  </si>
  <si>
    <t xml:space="preserve">Long-term vision, A/B next phase.</t>
  </si>
  <si>
    <t xml:space="preserve">Last week of the program</t>
  </si>
  <si>
    <t xml:space="preserve">Before vs after, what we built, what's open.</t>
  </si>
  <si>
    <t xml:space="preserve">KPI snapshot</t>
  </si>
  <si>
    <t xml:space="preserve">Monthly for 6 months after</t>
  </si>
  <si>
    <t xml:space="preserve">Progress measures + 3 short notes.</t>
  </si>
  <si>
    <t xml:space="preserve">What the HubSpot Work prompt builds. Decision: onboarding lives only in HubSpot Work.</t>
  </si>
  <si>
    <t xml:space="preserve">Where each part lives</t>
  </si>
  <si>
    <t xml:space="preserve">Tool</t>
  </si>
  <si>
    <t xml:space="preserve">Job</t>
  </si>
  <si>
    <t xml:space="preserve">The whole onboarding: one shared set of tables for all customers (Customers, Customer Task, Request, Update), a template task list, board, timeline and agents.</t>
  </si>
  <si>
    <t xml:space="preserve">Everything the customer sees: Action Plan, announcements, delivery and training videos, admin handbook.</t>
  </si>
  <si>
    <t xml:space="preserve">HubSpot CRM</t>
  </si>
  <si>
    <t xml:space="preserve">The deal-stage gate, the two welcome emails, meetings links and the dashboards that report progress measures.</t>
  </si>
  <si>
    <t xml:space="preserve">Not used for onboarding</t>
  </si>
  <si>
    <t xml:space="preserve">Projects object pipelines, tickets, HubSpot customer portal, Trello.</t>
  </si>
  <si>
    <t xml:space="preserve">Setting up a new customer (all customers share the same tables)</t>
  </si>
  <si>
    <t xml:space="preserve">Add a row to Customers: Customer, Company, Deal, Architect, Program length, Start date (the payment date), Products purchased, hub tiers, From→To goal, FigJam and Supered links.</t>
  </si>
  <si>
    <t xml:space="preserve">Tick Create tasks. The Task Generator copies the Core tasks once, plus one module for each product purchased, into Customer Task. It fills the dates, assigns the Architect, sets Tasks created for, and unticks Create tasks.</t>
  </si>
  <si>
    <t xml:space="preserve">If the customer buys another hub later, add it to Products purchased and tick Create tasks again. Only the new hub's tasks are added.</t>
  </si>
  <si>
    <t xml:space="preserve">To work on one customer, filter any view by Customer. 'My tasks' shows an Architect's work across all their customers.</t>
  </si>
  <si>
    <t xml:space="preserve">Share the workspace with Phil and the Architects (it's private by default).</t>
  </si>
  <si>
    <t xml:space="preserve">Task columns (template Tasks table and the shared Customer Task table, which adds a Customer link)</t>
  </si>
  <si>
    <t xml:space="preserve">Column</t>
  </si>
  <si>
    <t xml:space="preserve">Type</t>
  </si>
  <si>
    <t xml:space="preserve">Notes</t>
  </si>
  <si>
    <t xml:space="preserve">e.g. 4.07 (Core) or MH-4.03 (Marketing Hub). First column, so 'Depends on' can be read</t>
  </si>
  <si>
    <t xml:space="preserve">Task name</t>
  </si>
  <si>
    <t xml:space="preserve">Dropdown</t>
  </si>
  <si>
    <t xml:space="preserve">Core, Marketing Hub, Sales Hub, Service Hub</t>
  </si>
  <si>
    <t xml:space="preserve">Not started, In progress, Waiting on client, In review, Done, Won't do</t>
  </si>
  <si>
    <t xml:space="preserve">Owner role</t>
  </si>
  <si>
    <t xml:space="preserve">Phil, Architect, Ops, Client POC</t>
  </si>
  <si>
    <t xml:space="preserve">Assignee</t>
  </si>
  <si>
    <t xml:space="preserve">HubSpot user</t>
  </si>
  <si>
    <t xml:space="preserve">Person doing it</t>
  </si>
  <si>
    <t xml:space="preserve">Due date</t>
  </si>
  <si>
    <t xml:space="preserve">Formula</t>
  </si>
  <si>
    <t xml:space="preserve">Project Day 0 + Due day, compressed by Program length (see rule)</t>
  </si>
  <si>
    <t xml:space="preserve">Yes/No</t>
  </si>
  <si>
    <t xml:space="preserve">Does the customer see or do this?</t>
  </si>
  <si>
    <t xml:space="preserve">Weekly, Monthly, etc.</t>
  </si>
  <si>
    <t xml:space="preserve">Task IDs</t>
  </si>
  <si>
    <t xml:space="preserve">Long text</t>
  </si>
  <si>
    <t xml:space="preserve">What 'done' means</t>
  </si>
  <si>
    <t xml:space="preserve">Anything else</t>
  </si>
  <si>
    <t xml:space="preserve">Phase: P0 to P9 (hidden in Main table)</t>
  </si>
  <si>
    <t xml:space="preserve">Number</t>
  </si>
  <si>
    <t xml:space="preserve">Days after Day 0, 90-day plan (hidden)</t>
  </si>
  <si>
    <t xml:space="preserve">Due day</t>
  </si>
  <si>
    <t xml:space="preserve">Start date</t>
  </si>
  <si>
    <t xml:space="preserve">Date</t>
  </si>
  <si>
    <t xml:space="preserve">Optional, for the Timeline view (hidden)</t>
  </si>
  <si>
    <t xml:space="preserve">Project Day 0</t>
  </si>
  <si>
    <t xml:space="preserve">Helper for the formula: the customer's Start date, filled by the Task Generator (hidden)</t>
  </si>
  <si>
    <t xml:space="preserve">Helper for the formula: 60, 75 or 90, filled by the Task Generator (hidden)</t>
  </si>
  <si>
    <t xml:space="preserve">Board statuses</t>
  </si>
  <si>
    <t xml:space="preserve">Views</t>
  </si>
  <si>
    <t xml:space="preserve">View</t>
  </si>
  <si>
    <t xml:space="preserve">Setup</t>
  </si>
  <si>
    <t xml:space="preserve">Board</t>
  </si>
  <si>
    <t xml:space="preserve">Columns = Status. Cards show Customer, Task ID, Task, Assignee, Due date.</t>
  </si>
  <si>
    <t xml:space="preserve">By customer</t>
  </si>
  <si>
    <t xml:space="preserve">List grouped by Customer, then Section, sorted by Task ID.</t>
  </si>
  <si>
    <t xml:space="preserve">By section</t>
  </si>
  <si>
    <t xml:space="preserve">List grouped by Section (P0 → P9), sorted by Task ID.</t>
  </si>
  <si>
    <t xml:space="preserve">By module</t>
  </si>
  <si>
    <t xml:space="preserve">Grouped by Module, then Section.</t>
  </si>
  <si>
    <t xml:space="preserve">Timeline</t>
  </si>
  <si>
    <t xml:space="preserve">Start date → Due date, grouped by Customer.</t>
  </si>
  <si>
    <t xml:space="preserve">Calendar</t>
  </si>
  <si>
    <t xml:space="preserve">By Due date.</t>
  </si>
  <si>
    <t xml:space="preserve">My tasks</t>
  </si>
  <si>
    <t xml:space="preserve">Assignee = me, Status not Done / Won't do.</t>
  </si>
  <si>
    <t xml:space="preserve">Client to-dos</t>
  </si>
  <si>
    <t xml:space="preserve">Owner role = Client POC, Status not Done.</t>
  </si>
  <si>
    <t xml:space="preserve">This week</t>
  </si>
  <si>
    <t xml:space="preserve">Due date in the next 7 days, Status not Done.</t>
  </si>
  <si>
    <t xml:space="preserve">Overdue</t>
  </si>
  <si>
    <t xml:space="preserve">Due date before today, Status not Done / Won't do.</t>
  </si>
  <si>
    <t xml:space="preserve">Request table (shared, each row linked to its customer)</t>
  </si>
  <si>
    <t xml:space="preserve">Link to Customers row</t>
  </si>
  <si>
    <t xml:space="preserve">HubSpot user, defaults to the customer's Architect</t>
  </si>
  <si>
    <t xml:space="preserve">Request</t>
  </si>
  <si>
    <t xml:space="preserve">Dropdown: Critical, High, Standard, Not now</t>
  </si>
  <si>
    <t xml:space="preserve">Dropdown: Client request, Issue found, Client idea</t>
  </si>
  <si>
    <t xml:space="preserve">Dropdown: New, Quoted, In progress, Done, Parked</t>
  </si>
  <si>
    <t xml:space="preserve">Number in USD, default 250</t>
  </si>
  <si>
    <t xml:space="preserve">Logged on</t>
  </si>
  <si>
    <t xml:space="preserve">Update table (drafts the agents write for the Architect)</t>
  </si>
  <si>
    <t xml:space="preserve">Dropdown: Handoff brief, Weekly update, What's next options, KPI snapshot, Delay flag</t>
  </si>
  <si>
    <t xml:space="preserve">Period</t>
  </si>
  <si>
    <t xml:space="preserve">Date: week of, or month</t>
  </si>
  <si>
    <t xml:space="preserve">Draft</t>
  </si>
  <si>
    <t xml:space="preserve">Dropdown: Draft (an agent wrote it), Reviewed (the Architect checked it), Sent (the Architect sent it to the customer)</t>
  </si>
  <si>
    <t xml:space="preserve">Customers table, one row per customer</t>
  </si>
  <si>
    <t xml:space="preserve">Text: client name</t>
  </si>
  <si>
    <t xml:space="preserve">Company</t>
  </si>
  <si>
    <t xml:space="preserve">CRM company</t>
  </si>
  <si>
    <t xml:space="preserve">CRM deal</t>
  </si>
  <si>
    <t xml:space="preserve">Number: 60, 75 or 90</t>
  </si>
  <si>
    <t xml:space="preserve">Date: Day 0 = the day the deal reached Start Payment Received, not the kickoff date</t>
  </si>
  <si>
    <t xml:space="preserve">Target end date</t>
  </si>
  <si>
    <t xml:space="preserve">Text, e.g. Marketing Pro, Sales Enterprise</t>
  </si>
  <si>
    <t xml:space="preserve">Health</t>
  </si>
  <si>
    <t xml:space="preserve">Dropdown: On track, At risk, Off track</t>
  </si>
  <si>
    <t xml:space="preserve">Current section</t>
  </si>
  <si>
    <t xml:space="preserve">Dropdown: P0–P9, Completed</t>
  </si>
  <si>
    <t xml:space="preserve">Next MBR</t>
  </si>
  <si>
    <t xml:space="preserve">Date, filled by the Architect when booked</t>
  </si>
  <si>
    <t xml:space="preserve">Next due task</t>
  </si>
  <si>
    <t xml:space="preserve">Products purchased</t>
  </si>
  <si>
    <t xml:space="preserve">Multi-select: Marketing Hub Onboarding, Sales Hub Onboarding, Service Hub Onboarding</t>
  </si>
  <si>
    <t xml:space="preserve">Create tasks</t>
  </si>
  <si>
    <t xml:space="preserve">Checkbox: Ops ticks it to create or add tasks</t>
  </si>
  <si>
    <t xml:space="preserve">Tasks created for</t>
  </si>
  <si>
    <t xml:space="preserve">Multi-select, same options: set by the Task Generator</t>
  </si>
  <si>
    <t xml:space="preserve">From→To goal</t>
  </si>
  <si>
    <t xml:space="preserve">Long text: name, baseline, target</t>
  </si>
  <si>
    <t xml:space="preserve">FigJam link</t>
  </si>
  <si>
    <t xml:space="preserve">URL</t>
  </si>
  <si>
    <t xml:space="preserve">Supered Action Plan link</t>
  </si>
  <si>
    <t xml:space="preserve">Portfolio view</t>
  </si>
  <si>
    <t xml:space="preserve">Capacity</t>
  </si>
  <si>
    <t xml:space="preserve">Report: active customers per Architect. Phil uses it to pick the Architect.</t>
  </si>
  <si>
    <t xml:space="preserve">Health board</t>
  </si>
  <si>
    <t xml:space="preserve">Columns = Health.</t>
  </si>
  <si>
    <t xml:space="preserve">Ending soon</t>
  </si>
  <si>
    <t xml:space="preserve">Target end date in the next 35 days (time for the 'what's next' call).</t>
  </si>
  <si>
    <t xml:space="preserve">Agents (draft, fill fields or flag only; none sends anything to a customer). Full prompts: hubspot-work-agent-prompts.md</t>
  </si>
  <si>
    <t xml:space="preserve">Agent</t>
  </si>
  <si>
    <t xml:space="preserve">Trigger</t>
  </si>
  <si>
    <t xml:space="preserve">What it does</t>
  </si>
  <si>
    <t xml:space="preserve">Onboarding Task Generator</t>
  </si>
  <si>
    <t xml:space="preserve">Create tasks is ticked on a Customers row.</t>
  </si>
  <si>
    <t xml:space="preserve">Copies the Core tasks plus one module per product purchased into Customer Task, fills the dates and assigns the Architect.</t>
  </si>
  <si>
    <t xml:space="preserve">Handoff Brief</t>
  </si>
  <si>
    <t xml:space="preserve">Tasks created for changes from empty to having a value on a Customers row (the first time a customer's tasks are created).</t>
  </si>
  <si>
    <t xml:space="preserve">Writes a one-page brief for the Architect from the deal's history.</t>
  </si>
  <si>
    <t xml:space="preserve">Weekly Update Drafter</t>
  </si>
  <si>
    <t xml:space="preserve">Every Thursday at 9:00 AM (America/Bogota).</t>
  </si>
  <si>
    <t xml:space="preserve">Drafts each customer's Friday update for the Architect to review and send.</t>
  </si>
  <si>
    <t xml:space="preserve">Delay Flagger</t>
  </si>
  <si>
    <t xml:space="preserve">Every weekday at 8:00 AM (America/Bogota).</t>
  </si>
  <si>
    <t xml:space="preserve">Flags overdue and stuck tasks and sets Health to At risk.</t>
  </si>
  <si>
    <t xml:space="preserve">Request Triage</t>
  </si>
  <si>
    <t xml:space="preserve">A new row is added to the Request table.</t>
  </si>
  <si>
    <t xml:space="preserve">Suggests the urgency class, price and due date for each new request.</t>
  </si>
  <si>
    <t xml:space="preserve">Portfolio Sync</t>
  </si>
  <si>
    <t xml:space="preserve">Every day at 6:00 AM (America/Bogota).</t>
  </si>
  <si>
    <t xml:space="preserve">Keeps each customer's Current section and Next due task up to date.</t>
  </si>
  <si>
    <t xml:space="preserve">What's Next Prep</t>
  </si>
  <si>
    <t xml:space="preserve">Every day at 7:00 AM (America/Bogota), for Customers rows whose Target end date is 35 days away or less and that don't have a 'What's next options' update yet.</t>
  </si>
  <si>
    <t xml:space="preserve">Prepares Option A and Option B for the 'what's next' call.</t>
  </si>
  <si>
    <t xml:space="preserve">KPI Snapshot Drafter</t>
  </si>
  <si>
    <t xml:space="preserve">The 1st of every month at 9:00 AM (America/Bogota).</t>
  </si>
  <si>
    <t xml:space="preserve">Drafts the monthly KPI notes during the 6 months of free monitoring.</t>
  </si>
  <si>
    <t xml:space="preserve">Tool Fit: HubSpot Work vs Projects vs Tickets</t>
  </si>
  <si>
    <t xml:space="preserve">Decision: onboarding lives only in HubSpot Work. Scores kept as the record (0 = poor, 1 = workable, 2 = strong).</t>
  </si>
  <si>
    <t xml:space="preserve">Criterion</t>
  </si>
  <si>
    <t xml:space="preserve">Projects</t>
  </si>
  <si>
    <t xml:space="preserve">Projects object</t>
  </si>
  <si>
    <t xml:space="preserve">One record per customer program</t>
  </si>
  <si>
    <t xml:space="preserve">One project per customer, from a template</t>
  </si>
  <si>
    <t xml:space="preserve">Native CRM record</t>
  </si>
  <si>
    <t xml:space="preserve">Built for single requests</t>
  </si>
  <si>
    <t xml:space="preserve">Reusable task template</t>
  </si>
  <si>
    <t xml:space="preserve">Duplicate the template project</t>
  </si>
  <si>
    <t xml:space="preserve">Templates still maturing</t>
  </si>
  <si>
    <t xml:space="preserve">Workflow-created tasks only</t>
  </si>
  <si>
    <t xml:space="preserve">Board, timeline, due dates</t>
  </si>
  <si>
    <t xml:space="preserve">Board, timeline and calendar views</t>
  </si>
  <si>
    <t xml:space="preserve">Gantt, board, table, calendar</t>
  </si>
  <si>
    <t xml:space="preserve">Board only</t>
  </si>
  <si>
    <t xml:space="preserve">Sections per phase</t>
  </si>
  <si>
    <t xml:space="preserve">Tasks grouped by section</t>
  </si>
  <si>
    <t xml:space="preserve">Pipeline stages</t>
  </si>
  <si>
    <t xml:space="preserve">Client can see their plan</t>
  </si>
  <si>
    <t xml:space="preserve">Internal only (Supered covers this)</t>
  </si>
  <si>
    <t xml:space="preserve">Customer portal</t>
  </si>
  <si>
    <t xml:space="preserve">Request log with urgency</t>
  </si>
  <si>
    <t xml:space="preserve">Request table in each project</t>
  </si>
  <si>
    <t xml:space="preserve">Not its job</t>
  </si>
  <si>
    <t xml:space="preserve">Ticket pipeline</t>
  </si>
  <si>
    <t xml:space="preserve">Maturity</t>
  </si>
  <si>
    <t xml:space="preserve">Public beta</t>
  </si>
  <si>
    <t xml:space="preserve">Generally available</t>
  </si>
  <si>
    <t xml:space="preserve">Total (max 14)</t>
  </si>
</sst>
</file>

<file path=xl/styles.xml><?xml version="1.0" encoding="utf-8"?>
<styleSheet xmlns="http://schemas.openxmlformats.org/spreadsheetml/2006/main">
  <numFmts count="2">
    <numFmt numFmtId="164" formatCode="General"/>
    <numFmt numFmtId="165" formatCode="General"/>
  </numFmts>
  <fonts count="12">
    <font>
      <sz val="11"/>
      <color theme="1"/>
      <name val="Calibri"/>
      <family val="2"/>
      <charset val="1"/>
    </font>
    <font>
      <sz val="10"/>
      <name val="Arial"/>
      <family val="0"/>
    </font>
    <font>
      <sz val="10"/>
      <name val="Arial"/>
      <family val="0"/>
    </font>
    <font>
      <sz val="10"/>
      <name val="Arial"/>
      <family val="0"/>
    </font>
    <font>
      <b val="true"/>
      <sz val="14"/>
      <color rgb="FF1F3A5F"/>
      <name val="Arial"/>
      <family val="0"/>
      <charset val="1"/>
    </font>
    <font>
      <i val="true"/>
      <sz val="10"/>
      <color rgb="FF555555"/>
      <name val="Arial"/>
      <family val="0"/>
      <charset val="1"/>
    </font>
    <font>
      <b val="true"/>
      <sz val="10"/>
      <color rgb="FFFFFFFF"/>
      <name val="Arial"/>
      <family val="0"/>
      <charset val="1"/>
    </font>
    <font>
      <sz val="10"/>
      <name val="Arial"/>
      <family val="0"/>
      <charset val="1"/>
    </font>
    <font>
      <b val="true"/>
      <sz val="12"/>
      <color rgb="FF1F3A5F"/>
      <name val="Arial"/>
      <family val="0"/>
      <charset val="1"/>
    </font>
    <font>
      <sz val="8"/>
      <color rgb="FF999999"/>
      <name val="Arial"/>
      <family val="0"/>
      <charset val="1"/>
    </font>
    <font>
      <sz val="10"/>
      <color rgb="FF2E7D7A"/>
      <name val="Arial"/>
      <family val="0"/>
      <charset val="1"/>
    </font>
    <font>
      <b val="true"/>
      <sz val="10"/>
      <name val="Arial"/>
      <family val="0"/>
      <charset val="1"/>
    </font>
  </fonts>
  <fills count="6">
    <fill>
      <patternFill patternType="none"/>
    </fill>
    <fill>
      <patternFill patternType="gray125"/>
    </fill>
    <fill>
      <patternFill patternType="solid">
        <fgColor rgb="FF1F3A5F"/>
        <bgColor rgb="FF333333"/>
      </patternFill>
    </fill>
    <fill>
      <patternFill patternType="solid">
        <fgColor rgb="FFFFF4C2"/>
        <bgColor rgb="FFFFFF99"/>
      </patternFill>
    </fill>
    <fill>
      <patternFill patternType="solid">
        <fgColor rgb="FF2E7D7A"/>
        <bgColor rgb="FF008080"/>
      </patternFill>
    </fill>
    <fill>
      <patternFill patternType="solid">
        <fgColor rgb="FFEEF3F7"/>
        <bgColor rgb="FFDCEFEA"/>
      </patternFill>
    </fill>
  </fills>
  <borders count="2">
    <border diagonalUp="false" diagonalDown="false">
      <left/>
      <right/>
      <top/>
      <bottom/>
      <diagonal/>
    </border>
    <border diagonalUp="false" diagonalDown="false">
      <left style="thin">
        <color rgb="FFD5DCE3"/>
      </left>
      <right style="thin">
        <color rgb="FFD5DCE3"/>
      </right>
      <top style="thin">
        <color rgb="FFD5DCE3"/>
      </top>
      <bottom style="thin">
        <color rgb="FFD5DCE3"/>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6" fillId="4" borderId="1" xfId="0" applyFont="true" applyBorder="true" applyAlignment="true" applyProtection="false">
      <alignment horizontal="center" vertical="center" textRotation="0" wrapText="true" indent="0" shrinkToFit="false"/>
      <protection locked="true" hidden="false"/>
    </xf>
    <xf numFmtId="164" fontId="9" fillId="0" borderId="0" xfId="0" applyFont="true" applyBorder="fals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center" vertical="center"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center" vertical="center" textRotation="0" wrapText="true" indent="0" shrinkToFit="false"/>
      <protection locked="true" hidden="false"/>
    </xf>
    <xf numFmtId="164" fontId="7" fillId="0" borderId="0" xfId="0" applyFont="true" applyBorder="fals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5" fontId="7" fillId="5"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11" fillId="5" borderId="1" xfId="0" applyFont="true" applyBorder="true" applyAlignment="true" applyProtection="false">
      <alignment horizontal="general" vertical="top" textRotation="0" wrapText="true" indent="0" shrinkToFit="false"/>
      <protection locked="true" hidden="false"/>
    </xf>
    <xf numFmtId="165" fontId="11" fillId="5" borderId="1" xfId="0" applyFont="tru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bgColor rgb="FF2E7D7A"/>
        </patternFill>
      </fill>
    </dxf>
    <dxf>
      <fill>
        <patternFill patternType="solid">
          <fgColor rgb="FF1F3A5F"/>
          <bgColor rgb="FF000000"/>
        </patternFill>
      </fill>
    </dxf>
    <dxf>
      <fill>
        <patternFill patternType="solid">
          <bgColor rgb="FF000000"/>
        </patternFill>
      </fill>
    </dxf>
    <dxf>
      <fill>
        <patternFill patternType="solid">
          <fgColor rgb="FFFFFFFF"/>
          <bgColor rgb="FF000000"/>
        </patternFill>
      </fill>
    </dxf>
    <dxf>
      <fill>
        <patternFill patternType="solid">
          <fgColor rgb="FFDCEFEA"/>
          <bgColor rgb="FF000000"/>
        </patternFill>
      </fill>
    </dxf>
    <dxf>
      <fill>
        <patternFill patternType="solid">
          <fgColor rgb="FFFFF4C2"/>
          <bgColor rgb="FF000000"/>
        </patternFill>
      </fill>
    </dxf>
    <dxf>
      <fill>
        <patternFill patternType="solid">
          <fgColor rgb="FFEEF3F7"/>
          <bgColor rgb="FF000000"/>
        </patternFill>
      </fill>
    </dxf>
    <dxf>
      <fill>
        <patternFill>
          <bgColor rgb="FFDCEFEA"/>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C2"/>
      <rgbColor rgb="FFDCEFEA"/>
      <rgbColor rgb="FF660066"/>
      <rgbColor rgb="FFFF8080"/>
      <rgbColor rgb="FF0066CC"/>
      <rgbColor rgb="FFD5DCE3"/>
      <rgbColor rgb="FF000080"/>
      <rgbColor rgb="FFFF00FF"/>
      <rgbColor rgb="FFFFFF00"/>
      <rgbColor rgb="FF00FFFF"/>
      <rgbColor rgb="FF800080"/>
      <rgbColor rgb="FF800000"/>
      <rgbColor rgb="FF008080"/>
      <rgbColor rgb="FF0000FF"/>
      <rgbColor rgb="FF00CCFF"/>
      <rgbColor rgb="FFEEF3F7"/>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99999"/>
      <rgbColor rgb="FF1F3A5F"/>
      <rgbColor rgb="FF2E7D7A"/>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_rels/sheet8.xml.rels><?xml version="1.0" encoding="UTF-8"?>
<Relationships xmlns="http://schemas.openxmlformats.org/package/2006/relationships"><Relationship Id="rId1" Type="http://schemas.openxmlformats.org/officeDocument/2006/relationships/drawing" Target="../drawings/drawing3.xml"/>
</Relationships>
</file>

<file path=xl/worksheets/_rels/sheet9.xml.rels><?xml version="1.0" encoding="UTF-8"?>
<Relationships xmlns="http://schemas.openxmlformats.org/package/2006/relationships"><Relationship Id="rId1" Type="http://schemas.openxmlformats.org/officeDocument/2006/relationships/drawing" Target="../drawings/drawing4.xml"/>
</Relationships>
</file>

<file path=xl/worksheets/_rels/sheet10.xml.rels><?xml version="1.0" encoding="UTF-8"?>
<Relationships xmlns="http://schemas.openxmlformats.org/package/2006/relationships"><Relationship Id="rId1" Type="http://schemas.openxmlformats.org/officeDocument/2006/relationships/drawing" Target="../drawings/drawing5.xml"/>
</Relationships>
</file>

<file path=xl/worksheets/_rels/sheet11.xml.rels><?xml version="1.0" encoding="UTF-8"?>
<Relationships xmlns="http://schemas.openxmlformats.org/package/2006/relationships"><Relationship Id="rId1" Type="http://schemas.openxmlformats.org/officeDocument/2006/relationships/drawing" Target="../drawings/drawing6.xml"/>
</Relationships>
</file>

<file path=xl/worksheets/_rels/sheet12.xml.rels><?xml version="1.0" encoding="UTF-8"?>
<Relationships xmlns="http://schemas.openxmlformats.org/package/2006/relationships"><Relationship Id="rId1" Type="http://schemas.openxmlformats.org/officeDocument/2006/relationships/drawing" Target="../drawings/drawing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false"/>
  </sheetPr>
  <dimension ref="A1:B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10"/>
  </cols>
  <sheetData>
    <row r="1" customFormat="false" ht="17.35" hidden="false" customHeight="false" outlineLevel="0" collapsed="false">
      <c r="A1" s="1" t="s">
        <v>0</v>
      </c>
    </row>
    <row r="2" customFormat="false" ht="15" hidden="false" customHeight="false" outlineLevel="0" collapsed="false">
      <c r="A2" s="2" t="s">
        <v>1</v>
      </c>
    </row>
    <row r="4" customFormat="false" ht="30" hidden="false" customHeight="true" outlineLevel="0" collapsed="false">
      <c r="A4" s="3" t="s">
        <v>2</v>
      </c>
      <c r="B4" s="3" t="s">
        <v>3</v>
      </c>
    </row>
    <row r="5" customFormat="false" ht="15" hidden="false" customHeight="false" outlineLevel="0" collapsed="false">
      <c r="A5" s="4" t="s">
        <v>4</v>
      </c>
      <c r="B5" s="4" t="s">
        <v>5</v>
      </c>
    </row>
    <row r="6" customFormat="false" ht="15" hidden="false" customHeight="false" outlineLevel="0" collapsed="false">
      <c r="A6" s="4" t="s">
        <v>6</v>
      </c>
      <c r="B6" s="4" t="s">
        <v>7</v>
      </c>
    </row>
    <row r="7" customFormat="false" ht="15" hidden="false" customHeight="false" outlineLevel="0" collapsed="false">
      <c r="A7" s="4" t="s">
        <v>8</v>
      </c>
      <c r="B7" s="4" t="s">
        <v>9</v>
      </c>
    </row>
    <row r="8" customFormat="false" ht="15" hidden="false" customHeight="false" outlineLevel="0" collapsed="false">
      <c r="A8" s="4" t="s">
        <v>10</v>
      </c>
      <c r="B8" s="4" t="s">
        <v>11</v>
      </c>
    </row>
    <row r="9" customFormat="false" ht="15" hidden="false" customHeight="false" outlineLevel="0" collapsed="false">
      <c r="A9" s="4" t="s">
        <v>12</v>
      </c>
      <c r="B9" s="4" t="s">
        <v>13</v>
      </c>
    </row>
    <row r="10" customFormat="false" ht="15" hidden="false" customHeight="false" outlineLevel="0" collapsed="false">
      <c r="A10" s="4" t="s">
        <v>14</v>
      </c>
      <c r="B10" s="4" t="s">
        <v>15</v>
      </c>
    </row>
    <row r="11" customFormat="false" ht="15" hidden="false" customHeight="false" outlineLevel="0" collapsed="false">
      <c r="A11" s="4" t="s">
        <v>16</v>
      </c>
      <c r="B11" s="4" t="s">
        <v>17</v>
      </c>
    </row>
    <row r="12" customFormat="false" ht="15" hidden="false" customHeight="false" outlineLevel="0" collapsed="false">
      <c r="A12" s="4" t="s">
        <v>18</v>
      </c>
      <c r="B12" s="4" t="s">
        <v>19</v>
      </c>
    </row>
    <row r="13" customFormat="false" ht="15" hidden="false" customHeight="false" outlineLevel="0" collapsed="false">
      <c r="A13" s="4" t="s">
        <v>20</v>
      </c>
      <c r="B13" s="4" t="s">
        <v>21</v>
      </c>
    </row>
    <row r="14" customFormat="false" ht="15" hidden="false" customHeight="false" outlineLevel="0" collapsed="false">
      <c r="A14" s="4" t="s">
        <v>22</v>
      </c>
      <c r="B14" s="4" t="s">
        <v>23</v>
      </c>
    </row>
    <row r="15" customFormat="false" ht="15" hidden="false" customHeight="false" outlineLevel="0" collapsed="false">
      <c r="A15" s="4" t="s">
        <v>24</v>
      </c>
      <c r="B15" s="4" t="s">
        <v>25</v>
      </c>
    </row>
    <row r="16" customFormat="false" ht="15" hidden="false" customHeight="false" outlineLevel="0" collapsed="false">
      <c r="A16" s="4" t="s">
        <v>26</v>
      </c>
      <c r="B16" s="4" t="s">
        <v>27</v>
      </c>
    </row>
    <row r="17" customFormat="false" ht="15" hidden="false" customHeight="false" outlineLevel="0" collapsed="false">
      <c r="A17" s="4" t="s">
        <v>28</v>
      </c>
      <c r="B17" s="4" t="s">
        <v>29</v>
      </c>
    </row>
    <row r="19" customFormat="false" ht="30" hidden="false" customHeight="true" outlineLevel="0" collapsed="false">
      <c r="A19" s="3" t="s">
        <v>30</v>
      </c>
      <c r="B19" s="3" t="s">
        <v>31</v>
      </c>
    </row>
    <row r="20" customFormat="false" ht="15" hidden="false" customHeight="false" outlineLevel="0" collapsed="false">
      <c r="A20" s="4" t="s">
        <v>32</v>
      </c>
      <c r="B20" s="4" t="s">
        <v>33</v>
      </c>
    </row>
    <row r="21" customFormat="false" ht="15" hidden="false" customHeight="false" outlineLevel="0" collapsed="false">
      <c r="A21" s="4" t="s">
        <v>34</v>
      </c>
      <c r="B21" s="4" t="s">
        <v>35</v>
      </c>
    </row>
    <row r="22" customFormat="false" ht="15" hidden="false" customHeight="false" outlineLevel="0" collapsed="false">
      <c r="A22" s="4" t="s">
        <v>36</v>
      </c>
      <c r="B22" s="4" t="s">
        <v>37</v>
      </c>
    </row>
    <row r="23" customFormat="false" ht="15" hidden="false" customHeight="false" outlineLevel="0" collapsed="false">
      <c r="A23" s="4" t="s">
        <v>38</v>
      </c>
      <c r="B23" s="4" t="s">
        <v>39</v>
      </c>
    </row>
    <row r="25" customFormat="false" ht="15" hidden="false" customHeight="false" outlineLevel="0" collapsed="false">
      <c r="A25" s="5" t="s">
        <v>40</v>
      </c>
    </row>
    <row r="26" customFormat="false" ht="15" hidden="false" customHeight="false" outlineLevel="0" collapsed="false">
      <c r="A26" s="6" t="s">
        <v>41</v>
      </c>
      <c r="B26" s="7" t="s">
        <v>42</v>
      </c>
    </row>
    <row r="27" customFormat="false" ht="15" hidden="false" customHeight="false" outlineLevel="0" collapsed="false">
      <c r="A27" s="7" t="s">
        <v>43</v>
      </c>
      <c r="B27" s="7" t="s">
        <v>44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false"/>
  </sheetPr>
  <dimension ref="A1:D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3" min="3" style="0" width="40"/>
    <col collapsed="false" customWidth="true" hidden="false" outlineLevel="0" max="4" min="4" style="0" width="80"/>
  </cols>
  <sheetData>
    <row r="1" customFormat="false" ht="17.35" hidden="false" customHeight="false" outlineLevel="0" collapsed="false">
      <c r="A1" s="1" t="s">
        <v>4</v>
      </c>
    </row>
    <row r="2" customFormat="false" ht="15" hidden="false" customHeight="false" outlineLevel="0" collapsed="false">
      <c r="A2" s="2" t="s">
        <v>45</v>
      </c>
    </row>
    <row r="4" customFormat="false" ht="30" hidden="false" customHeight="true" outlineLevel="0" collapsed="false">
      <c r="A4" s="3" t="s">
        <v>46</v>
      </c>
      <c r="B4" s="3" t="s">
        <v>47</v>
      </c>
      <c r="C4" s="3" t="s">
        <v>48</v>
      </c>
      <c r="D4" s="3" t="s">
        <v>49</v>
      </c>
    </row>
    <row r="5" customFormat="false" ht="23.85" hidden="false" customHeight="false" outlineLevel="0" collapsed="false">
      <c r="A5" s="4" t="n">
        <v>1</v>
      </c>
      <c r="B5" s="4" t="s">
        <v>50</v>
      </c>
      <c r="C5" s="4" t="s">
        <v>51</v>
      </c>
      <c r="D5" s="4" t="s">
        <v>52</v>
      </c>
    </row>
    <row r="6" customFormat="false" ht="15" hidden="false" customHeight="false" outlineLevel="0" collapsed="false">
      <c r="A6" s="4" t="n">
        <v>2</v>
      </c>
      <c r="B6" s="4" t="s">
        <v>53</v>
      </c>
      <c r="C6" s="4" t="s">
        <v>54</v>
      </c>
      <c r="D6" s="4" t="s">
        <v>55</v>
      </c>
    </row>
    <row r="7" customFormat="false" ht="23.85" hidden="false" customHeight="false" outlineLevel="0" collapsed="false">
      <c r="A7" s="4" t="n">
        <v>3</v>
      </c>
      <c r="B7" s="4" t="s">
        <v>56</v>
      </c>
      <c r="C7" s="4" t="s">
        <v>57</v>
      </c>
      <c r="D7" s="4" t="s">
        <v>58</v>
      </c>
    </row>
    <row r="8" customFormat="false" ht="15" hidden="false" customHeight="false" outlineLevel="0" collapsed="false">
      <c r="A8" s="4" t="n">
        <v>4</v>
      </c>
      <c r="B8" s="4" t="s">
        <v>59</v>
      </c>
      <c r="C8" s="4" t="s">
        <v>60</v>
      </c>
      <c r="D8" s="4" t="s">
        <v>61</v>
      </c>
    </row>
    <row r="9" customFormat="false" ht="15" hidden="false" customHeight="false" outlineLevel="0" collapsed="false">
      <c r="A9" s="4" t="n">
        <v>5</v>
      </c>
      <c r="B9" s="4" t="s">
        <v>62</v>
      </c>
      <c r="C9" s="4" t="s">
        <v>63</v>
      </c>
      <c r="D9" s="4" t="s">
        <v>64</v>
      </c>
    </row>
    <row r="10" customFormat="false" ht="15" hidden="false" customHeight="false" outlineLevel="0" collapsed="false">
      <c r="A10" s="4" t="n">
        <v>6</v>
      </c>
      <c r="B10" s="4" t="s">
        <v>65</v>
      </c>
      <c r="C10" s="4" t="s">
        <v>66</v>
      </c>
      <c r="D10" s="4" t="s">
        <v>67</v>
      </c>
    </row>
    <row r="11" customFormat="false" ht="15" hidden="false" customHeight="false" outlineLevel="0" collapsed="false">
      <c r="A11" s="4" t="n">
        <v>7</v>
      </c>
      <c r="B11" s="4" t="s">
        <v>68</v>
      </c>
      <c r="C11" s="4" t="s">
        <v>69</v>
      </c>
      <c r="D11" s="4" t="s">
        <v>70</v>
      </c>
    </row>
    <row r="12" customFormat="false" ht="23.85" hidden="false" customHeight="false" outlineLevel="0" collapsed="false">
      <c r="A12" s="4" t="n">
        <v>8</v>
      </c>
      <c r="B12" s="4" t="s">
        <v>71</v>
      </c>
      <c r="C12" s="4" t="s">
        <v>72</v>
      </c>
      <c r="D12" s="4" t="s">
        <v>73</v>
      </c>
    </row>
    <row r="13" customFormat="false" ht="15" hidden="false" customHeight="false" outlineLevel="0" collapsed="false">
      <c r="A13" s="4" t="n">
        <v>9</v>
      </c>
      <c r="B13" s="4" t="s">
        <v>74</v>
      </c>
      <c r="C13" s="4" t="s">
        <v>75</v>
      </c>
      <c r="D13" s="4" t="s">
        <v>76</v>
      </c>
    </row>
    <row r="14" customFormat="false" ht="15" hidden="false" customHeight="false" outlineLevel="0" collapsed="false">
      <c r="A14" s="4" t="n">
        <v>10</v>
      </c>
      <c r="B14" s="4" t="s">
        <v>77</v>
      </c>
      <c r="C14" s="4" t="s">
        <v>78</v>
      </c>
      <c r="D14" s="4" t="s">
        <v>79</v>
      </c>
    </row>
    <row r="15" customFormat="false" ht="15" hidden="false" customHeight="false" outlineLevel="0" collapsed="false">
      <c r="A15" s="4" t="n">
        <v>11</v>
      </c>
      <c r="B15" s="4" t="s">
        <v>80</v>
      </c>
      <c r="C15" s="4" t="s">
        <v>81</v>
      </c>
      <c r="D15" s="4" t="s">
        <v>82</v>
      </c>
    </row>
    <row r="16" customFormat="false" ht="15" hidden="false" customHeight="false" outlineLevel="0" collapsed="false">
      <c r="A16" s="4" t="n">
        <v>12</v>
      </c>
      <c r="B16" s="4" t="s">
        <v>83</v>
      </c>
      <c r="C16" s="4" t="s">
        <v>84</v>
      </c>
      <c r="D16" s="4" t="s">
        <v>85</v>
      </c>
    </row>
    <row r="17" customFormat="false" ht="46.25" hidden="false" customHeight="false" outlineLevel="0" collapsed="false">
      <c r="A17" s="4" t="n">
        <v>13</v>
      </c>
      <c r="B17" s="4" t="s">
        <v>86</v>
      </c>
      <c r="C17" s="4" t="s">
        <v>87</v>
      </c>
      <c r="D17" s="4" t="s">
        <v>88</v>
      </c>
    </row>
    <row r="18" customFormat="false" ht="15" hidden="false" customHeight="false" outlineLevel="0" collapsed="false">
      <c r="A18" s="4" t="n">
        <v>14</v>
      </c>
      <c r="B18" s="4" t="s">
        <v>89</v>
      </c>
      <c r="C18" s="4" t="s">
        <v>90</v>
      </c>
      <c r="D18" s="4" t="s">
        <v>91</v>
      </c>
    </row>
    <row r="19" customFormat="false" ht="15" hidden="false" customHeight="false" outlineLevel="0" collapsed="false">
      <c r="A19" s="4" t="n">
        <v>15</v>
      </c>
      <c r="B19" s="4" t="s">
        <v>92</v>
      </c>
      <c r="C19" s="4" t="s">
        <v>93</v>
      </c>
      <c r="D19" s="4" t="s">
        <v>94</v>
      </c>
    </row>
    <row r="20" customFormat="false" ht="23.85" hidden="false" customHeight="false" outlineLevel="0" collapsed="false">
      <c r="A20" s="4" t="n">
        <v>16</v>
      </c>
      <c r="B20" s="4" t="s">
        <v>95</v>
      </c>
      <c r="C20" s="4" t="s">
        <v>96</v>
      </c>
      <c r="D20" s="4" t="s">
        <v>97</v>
      </c>
    </row>
    <row r="21" customFormat="false" ht="23.85" hidden="false" customHeight="false" outlineLevel="0" collapsed="false">
      <c r="A21" s="4" t="n">
        <v>17</v>
      </c>
      <c r="B21" s="4" t="s">
        <v>98</v>
      </c>
      <c r="C21" s="4" t="s">
        <v>99</v>
      </c>
      <c r="D21" s="4" t="s">
        <v>100</v>
      </c>
    </row>
    <row r="22" customFormat="false" ht="23.85" hidden="false" customHeight="false" outlineLevel="0" collapsed="false">
      <c r="A22" s="4" t="n">
        <v>18</v>
      </c>
      <c r="B22" s="4" t="s">
        <v>101</v>
      </c>
      <c r="C22" s="4" t="s">
        <v>102</v>
      </c>
      <c r="D22" s="4" t="s">
        <v>103</v>
      </c>
    </row>
    <row r="23" customFormat="false" ht="15" hidden="false" customHeight="false" outlineLevel="0" collapsed="false">
      <c r="A23" s="4" t="n">
        <v>19</v>
      </c>
      <c r="B23" s="4" t="s">
        <v>104</v>
      </c>
      <c r="C23" s="4" t="s">
        <v>105</v>
      </c>
      <c r="D23" s="4" t="s">
        <v>106</v>
      </c>
    </row>
    <row r="24" customFormat="false" ht="23.85" hidden="false" customHeight="false" outlineLevel="0" collapsed="false">
      <c r="A24" s="4" t="n">
        <v>20</v>
      </c>
      <c r="B24" s="4" t="s">
        <v>107</v>
      </c>
      <c r="C24" s="4" t="s">
        <v>108</v>
      </c>
      <c r="D24" s="4" t="s">
        <v>109</v>
      </c>
    </row>
    <row r="25" customFormat="false" ht="35.05" hidden="false" customHeight="false" outlineLevel="0" collapsed="false">
      <c r="A25" s="4" t="n">
        <v>21</v>
      </c>
      <c r="B25" s="4" t="s">
        <v>110</v>
      </c>
      <c r="C25" s="4" t="s">
        <v>111</v>
      </c>
      <c r="D25" s="4" t="s">
        <v>112</v>
      </c>
    </row>
    <row r="27" customFormat="false" ht="15" hidden="false" customHeight="false" outlineLevel="0" collapsed="false">
      <c r="A27" s="5" t="s">
        <v>113</v>
      </c>
    </row>
    <row r="28" customFormat="false" ht="30" hidden="false" customHeight="true" outlineLevel="0" collapsed="false">
      <c r="A28" s="8" t="s">
        <v>46</v>
      </c>
      <c r="B28" s="8" t="s">
        <v>114</v>
      </c>
      <c r="C28" s="8" t="s">
        <v>115</v>
      </c>
      <c r="D28" s="8"/>
    </row>
    <row r="29" customFormat="false" ht="46.25" hidden="false" customHeight="false" outlineLevel="0" collapsed="false">
      <c r="A29" s="4" t="n">
        <v>1</v>
      </c>
      <c r="B29" s="4" t="s">
        <v>116</v>
      </c>
      <c r="C29" s="4" t="s">
        <v>117</v>
      </c>
      <c r="D29" s="4"/>
    </row>
    <row r="30" customFormat="false" ht="46.25" hidden="false" customHeight="false" outlineLevel="0" collapsed="false">
      <c r="A30" s="4" t="n">
        <v>2</v>
      </c>
      <c r="B30" s="4" t="s">
        <v>118</v>
      </c>
      <c r="C30" s="4" t="s">
        <v>119</v>
      </c>
      <c r="D30" s="4"/>
    </row>
    <row r="32" customFormat="false" ht="15" hidden="false" customHeight="false" outlineLevel="0" collapsed="false">
      <c r="A32" s="5" t="s">
        <v>120</v>
      </c>
    </row>
    <row r="33" customFormat="false" ht="15" hidden="false" customHeight="false" outlineLevel="0" collapsed="false">
      <c r="A33" s="7" t="s">
        <v>121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7A"/>
    <pageSetUpPr fitToPage="false"/>
  </sheetPr>
  <dimension ref="A1:W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20"/>
    <col collapsed="false" customWidth="true" hidden="false" outlineLevel="0" max="3" min="3" style="0" width="30"/>
    <col collapsed="false" customWidth="true" hidden="false" outlineLevel="0" max="5" min="4" style="0" width="8"/>
    <col collapsed="false" customWidth="true" hidden="false" outlineLevel="0" max="8" min="6" style="0" width="40"/>
    <col collapsed="false" customWidth="true" hidden="false" outlineLevel="0" max="23" min="9" style="0" width="5.51"/>
  </cols>
  <sheetData>
    <row r="1" customFormat="false" ht="17.35" hidden="false" customHeight="false" outlineLevel="0" collapsed="false">
      <c r="A1" s="1" t="s">
        <v>6</v>
      </c>
    </row>
    <row r="2" customFormat="false" ht="15" hidden="false" customHeight="false" outlineLevel="0" collapsed="false">
      <c r="A2" s="2" t="s">
        <v>122</v>
      </c>
    </row>
    <row r="4" customFormat="false" ht="15" hidden="false" customHeight="false" outlineLevel="0" collapsed="false">
      <c r="I4" s="9" t="n">
        <v>-60</v>
      </c>
      <c r="J4" s="9" t="n">
        <v>0</v>
      </c>
      <c r="K4" s="9" t="n">
        <v>7</v>
      </c>
      <c r="L4" s="9" t="n">
        <v>14</v>
      </c>
      <c r="M4" s="9" t="n">
        <v>21</v>
      </c>
      <c r="N4" s="9" t="n">
        <v>28</v>
      </c>
      <c r="O4" s="9" t="n">
        <v>35</v>
      </c>
      <c r="P4" s="9" t="n">
        <v>42</v>
      </c>
      <c r="Q4" s="9" t="n">
        <v>49</v>
      </c>
      <c r="R4" s="9" t="n">
        <v>56</v>
      </c>
      <c r="S4" s="9" t="n">
        <v>63</v>
      </c>
      <c r="T4" s="9" t="n">
        <v>70</v>
      </c>
      <c r="U4" s="9" t="n">
        <v>77</v>
      </c>
      <c r="V4" s="9" t="n">
        <v>84</v>
      </c>
      <c r="W4" s="9" t="n">
        <v>91</v>
      </c>
    </row>
    <row r="5" customFormat="false" ht="15" hidden="false" customHeight="false" outlineLevel="0" collapsed="false">
      <c r="I5" s="9" t="n">
        <v>-1</v>
      </c>
      <c r="J5" s="9" t="n">
        <v>6</v>
      </c>
      <c r="K5" s="9" t="n">
        <v>13</v>
      </c>
      <c r="L5" s="9" t="n">
        <v>20</v>
      </c>
      <c r="M5" s="9" t="n">
        <v>27</v>
      </c>
      <c r="N5" s="9" t="n">
        <v>34</v>
      </c>
      <c r="O5" s="9" t="n">
        <v>41</v>
      </c>
      <c r="P5" s="9" t="n">
        <v>48</v>
      </c>
      <c r="Q5" s="9" t="n">
        <v>55</v>
      </c>
      <c r="R5" s="9" t="n">
        <v>62</v>
      </c>
      <c r="S5" s="9" t="n">
        <v>69</v>
      </c>
      <c r="T5" s="9" t="n">
        <v>76</v>
      </c>
      <c r="U5" s="9" t="n">
        <v>83</v>
      </c>
      <c r="V5" s="9" t="n">
        <v>90</v>
      </c>
      <c r="W5" s="9" t="n">
        <v>400</v>
      </c>
    </row>
    <row r="6" customFormat="false" ht="30" hidden="false" customHeight="true" outlineLevel="0" collapsed="false">
      <c r="A6" s="3" t="s">
        <v>123</v>
      </c>
      <c r="B6" s="3" t="s">
        <v>124</v>
      </c>
      <c r="C6" s="3" t="s">
        <v>125</v>
      </c>
      <c r="D6" s="3" t="s">
        <v>126</v>
      </c>
      <c r="E6" s="3" t="s">
        <v>127</v>
      </c>
      <c r="F6" s="3" t="s">
        <v>128</v>
      </c>
      <c r="G6" s="3" t="s">
        <v>129</v>
      </c>
      <c r="H6" s="3" t="s">
        <v>130</v>
      </c>
      <c r="I6" s="3" t="s">
        <v>131</v>
      </c>
      <c r="J6" s="3" t="s">
        <v>132</v>
      </c>
      <c r="K6" s="3" t="s">
        <v>133</v>
      </c>
      <c r="L6" s="3" t="s">
        <v>134</v>
      </c>
      <c r="M6" s="3" t="s">
        <v>135</v>
      </c>
      <c r="N6" s="3" t="s">
        <v>136</v>
      </c>
      <c r="O6" s="3" t="s">
        <v>137</v>
      </c>
      <c r="P6" s="3" t="s">
        <v>138</v>
      </c>
      <c r="Q6" s="3" t="s">
        <v>139</v>
      </c>
      <c r="R6" s="3" t="s">
        <v>140</v>
      </c>
      <c r="S6" s="3" t="s">
        <v>141</v>
      </c>
      <c r="T6" s="3" t="s">
        <v>142</v>
      </c>
      <c r="U6" s="3" t="s">
        <v>143</v>
      </c>
      <c r="V6" s="3" t="s">
        <v>144</v>
      </c>
      <c r="W6" s="3" t="s">
        <v>145</v>
      </c>
    </row>
    <row r="7" customFormat="false" ht="35.05" hidden="false" customHeight="false" outlineLevel="0" collapsed="false">
      <c r="A7" s="4" t="s">
        <v>146</v>
      </c>
      <c r="B7" s="4" t="s">
        <v>147</v>
      </c>
      <c r="C7" s="4" t="s">
        <v>148</v>
      </c>
      <c r="D7" s="10" t="n">
        <v>-30</v>
      </c>
      <c r="E7" s="10" t="n">
        <v>0</v>
      </c>
      <c r="F7" s="4" t="s">
        <v>149</v>
      </c>
      <c r="G7" s="4" t="s">
        <v>150</v>
      </c>
      <c r="H7" s="4" t="s">
        <v>151</v>
      </c>
      <c r="I7" s="11" t="str">
        <f aca="false">IF(AND($D7&lt;=I$5,$E7&gt;=I$4),"■","")</f>
        <v>■</v>
      </c>
      <c r="J7" s="11" t="str">
        <f aca="false">IF(AND($D7&lt;=J$5,$E7&gt;=J$4),"■","")</f>
        <v>■</v>
      </c>
      <c r="K7" s="11" t="str">
        <f aca="false">IF(AND($D7&lt;=K$5,$E7&gt;=K$4),"■","")</f>
        <v/>
      </c>
      <c r="L7" s="11" t="str">
        <f aca="false">IF(AND($D7&lt;=L$5,$E7&gt;=L$4),"■","")</f>
        <v/>
      </c>
      <c r="M7" s="11" t="str">
        <f aca="false">IF(AND($D7&lt;=M$5,$E7&gt;=M$4),"■","")</f>
        <v/>
      </c>
      <c r="N7" s="11" t="str">
        <f aca="false">IF(AND($D7&lt;=N$5,$E7&gt;=N$4),"■","")</f>
        <v/>
      </c>
      <c r="O7" s="11" t="str">
        <f aca="false">IF(AND($D7&lt;=O$5,$E7&gt;=O$4),"■","")</f>
        <v/>
      </c>
      <c r="P7" s="11" t="str">
        <f aca="false">IF(AND($D7&lt;=P$5,$E7&gt;=P$4),"■","")</f>
        <v/>
      </c>
      <c r="Q7" s="11" t="str">
        <f aca="false">IF(AND($D7&lt;=Q$5,$E7&gt;=Q$4),"■","")</f>
        <v/>
      </c>
      <c r="R7" s="11" t="str">
        <f aca="false">IF(AND($D7&lt;=R$5,$E7&gt;=R$4),"■","")</f>
        <v/>
      </c>
      <c r="S7" s="11" t="str">
        <f aca="false">IF(AND($D7&lt;=S$5,$E7&gt;=S$4),"■","")</f>
        <v/>
      </c>
      <c r="T7" s="11" t="str">
        <f aca="false">IF(AND($D7&lt;=T$5,$E7&gt;=T$4),"■","")</f>
        <v/>
      </c>
      <c r="U7" s="11" t="str">
        <f aca="false">IF(AND($D7&lt;=U$5,$E7&gt;=U$4),"■","")</f>
        <v/>
      </c>
      <c r="V7" s="11" t="str">
        <f aca="false">IF(AND($D7&lt;=V$5,$E7&gt;=V$4),"■","")</f>
        <v/>
      </c>
      <c r="W7" s="11" t="str">
        <f aca="false">IF(AND($D7&lt;=W$5,$E7&gt;=W$4),"■","")</f>
        <v/>
      </c>
    </row>
    <row r="8" customFormat="false" ht="35.05" hidden="false" customHeight="false" outlineLevel="0" collapsed="false">
      <c r="A8" s="4" t="s">
        <v>152</v>
      </c>
      <c r="B8" s="4" t="s">
        <v>153</v>
      </c>
      <c r="C8" s="4" t="s">
        <v>154</v>
      </c>
      <c r="D8" s="10" t="n">
        <v>0</v>
      </c>
      <c r="E8" s="10" t="n">
        <v>3</v>
      </c>
      <c r="F8" s="4" t="s">
        <v>155</v>
      </c>
      <c r="G8" s="4" t="s">
        <v>156</v>
      </c>
      <c r="H8" s="4" t="s">
        <v>157</v>
      </c>
      <c r="I8" s="11" t="str">
        <f aca="false">IF(AND($D8&lt;=I$5,$E8&gt;=I$4),"■","")</f>
        <v/>
      </c>
      <c r="J8" s="11" t="str">
        <f aca="false">IF(AND($D8&lt;=J$5,$E8&gt;=J$4),"■","")</f>
        <v>■</v>
      </c>
      <c r="K8" s="11" t="str">
        <f aca="false">IF(AND($D8&lt;=K$5,$E8&gt;=K$4),"■","")</f>
        <v/>
      </c>
      <c r="L8" s="11" t="str">
        <f aca="false">IF(AND($D8&lt;=L$5,$E8&gt;=L$4),"■","")</f>
        <v/>
      </c>
      <c r="M8" s="11" t="str">
        <f aca="false">IF(AND($D8&lt;=M$5,$E8&gt;=M$4),"■","")</f>
        <v/>
      </c>
      <c r="N8" s="11" t="str">
        <f aca="false">IF(AND($D8&lt;=N$5,$E8&gt;=N$4),"■","")</f>
        <v/>
      </c>
      <c r="O8" s="11" t="str">
        <f aca="false">IF(AND($D8&lt;=O$5,$E8&gt;=O$4),"■","")</f>
        <v/>
      </c>
      <c r="P8" s="11" t="str">
        <f aca="false">IF(AND($D8&lt;=P$5,$E8&gt;=P$4),"■","")</f>
        <v/>
      </c>
      <c r="Q8" s="11" t="str">
        <f aca="false">IF(AND($D8&lt;=Q$5,$E8&gt;=Q$4),"■","")</f>
        <v/>
      </c>
      <c r="R8" s="11" t="str">
        <f aca="false">IF(AND($D8&lt;=R$5,$E8&gt;=R$4),"■","")</f>
        <v/>
      </c>
      <c r="S8" s="11" t="str">
        <f aca="false">IF(AND($D8&lt;=S$5,$E8&gt;=S$4),"■","")</f>
        <v/>
      </c>
      <c r="T8" s="11" t="str">
        <f aca="false">IF(AND($D8&lt;=T$5,$E8&gt;=T$4),"■","")</f>
        <v/>
      </c>
      <c r="U8" s="11" t="str">
        <f aca="false">IF(AND($D8&lt;=U$5,$E8&gt;=U$4),"■","")</f>
        <v/>
      </c>
      <c r="V8" s="11" t="str">
        <f aca="false">IF(AND($D8&lt;=V$5,$E8&gt;=V$4),"■","")</f>
        <v/>
      </c>
      <c r="W8" s="11" t="str">
        <f aca="false">IF(AND($D8&lt;=W$5,$E8&gt;=W$4),"■","")</f>
        <v/>
      </c>
    </row>
    <row r="9" customFormat="false" ht="35.05" hidden="false" customHeight="false" outlineLevel="0" collapsed="false">
      <c r="A9" s="4" t="s">
        <v>158</v>
      </c>
      <c r="B9" s="4" t="s">
        <v>159</v>
      </c>
      <c r="C9" s="4" t="s">
        <v>160</v>
      </c>
      <c r="D9" s="10" t="n">
        <v>1</v>
      </c>
      <c r="E9" s="10" t="n">
        <v>7</v>
      </c>
      <c r="F9" s="4" t="s">
        <v>161</v>
      </c>
      <c r="G9" s="4" t="s">
        <v>162</v>
      </c>
      <c r="H9" s="4" t="s">
        <v>163</v>
      </c>
      <c r="I9" s="11" t="str">
        <f aca="false">IF(AND($D9&lt;=I$5,$E9&gt;=I$4),"■","")</f>
        <v/>
      </c>
      <c r="J9" s="11" t="str">
        <f aca="false">IF(AND($D9&lt;=J$5,$E9&gt;=J$4),"■","")</f>
        <v>■</v>
      </c>
      <c r="K9" s="11" t="str">
        <f aca="false">IF(AND($D9&lt;=K$5,$E9&gt;=K$4),"■","")</f>
        <v>■</v>
      </c>
      <c r="L9" s="11" t="str">
        <f aca="false">IF(AND($D9&lt;=L$5,$E9&gt;=L$4),"■","")</f>
        <v/>
      </c>
      <c r="M9" s="11" t="str">
        <f aca="false">IF(AND($D9&lt;=M$5,$E9&gt;=M$4),"■","")</f>
        <v/>
      </c>
      <c r="N9" s="11" t="str">
        <f aca="false">IF(AND($D9&lt;=N$5,$E9&gt;=N$4),"■","")</f>
        <v/>
      </c>
      <c r="O9" s="11" t="str">
        <f aca="false">IF(AND($D9&lt;=O$5,$E9&gt;=O$4),"■","")</f>
        <v/>
      </c>
      <c r="P9" s="11" t="str">
        <f aca="false">IF(AND($D9&lt;=P$5,$E9&gt;=P$4),"■","")</f>
        <v/>
      </c>
      <c r="Q9" s="11" t="str">
        <f aca="false">IF(AND($D9&lt;=Q$5,$E9&gt;=Q$4),"■","")</f>
        <v/>
      </c>
      <c r="R9" s="11" t="str">
        <f aca="false">IF(AND($D9&lt;=R$5,$E9&gt;=R$4),"■","")</f>
        <v/>
      </c>
      <c r="S9" s="11" t="str">
        <f aca="false">IF(AND($D9&lt;=S$5,$E9&gt;=S$4),"■","")</f>
        <v/>
      </c>
      <c r="T9" s="11" t="str">
        <f aca="false">IF(AND($D9&lt;=T$5,$E9&gt;=T$4),"■","")</f>
        <v/>
      </c>
      <c r="U9" s="11" t="str">
        <f aca="false">IF(AND($D9&lt;=U$5,$E9&gt;=U$4),"■","")</f>
        <v/>
      </c>
      <c r="V9" s="11" t="str">
        <f aca="false">IF(AND($D9&lt;=V$5,$E9&gt;=V$4),"■","")</f>
        <v/>
      </c>
      <c r="W9" s="11" t="str">
        <f aca="false">IF(AND($D9&lt;=W$5,$E9&gt;=W$4),"■","")</f>
        <v/>
      </c>
    </row>
    <row r="10" customFormat="false" ht="23.85" hidden="false" customHeight="false" outlineLevel="0" collapsed="false">
      <c r="A10" s="4" t="s">
        <v>164</v>
      </c>
      <c r="B10" s="4" t="s">
        <v>165</v>
      </c>
      <c r="C10" s="4" t="s">
        <v>166</v>
      </c>
      <c r="D10" s="10" t="n">
        <v>5</v>
      </c>
      <c r="E10" s="10" t="n">
        <v>10</v>
      </c>
      <c r="F10" s="4" t="s">
        <v>167</v>
      </c>
      <c r="G10" s="4" t="s">
        <v>168</v>
      </c>
      <c r="H10" s="4" t="s">
        <v>169</v>
      </c>
      <c r="I10" s="11" t="str">
        <f aca="false">IF(AND($D10&lt;=I$5,$E10&gt;=I$4),"■","")</f>
        <v/>
      </c>
      <c r="J10" s="11" t="str">
        <f aca="false">IF(AND($D10&lt;=J$5,$E10&gt;=J$4),"■","")</f>
        <v>■</v>
      </c>
      <c r="K10" s="11" t="str">
        <f aca="false">IF(AND($D10&lt;=K$5,$E10&gt;=K$4),"■","")</f>
        <v>■</v>
      </c>
      <c r="L10" s="11" t="str">
        <f aca="false">IF(AND($D10&lt;=L$5,$E10&gt;=L$4),"■","")</f>
        <v/>
      </c>
      <c r="M10" s="11" t="str">
        <f aca="false">IF(AND($D10&lt;=M$5,$E10&gt;=M$4),"■","")</f>
        <v/>
      </c>
      <c r="N10" s="11" t="str">
        <f aca="false">IF(AND($D10&lt;=N$5,$E10&gt;=N$4),"■","")</f>
        <v/>
      </c>
      <c r="O10" s="11" t="str">
        <f aca="false">IF(AND($D10&lt;=O$5,$E10&gt;=O$4),"■","")</f>
        <v/>
      </c>
      <c r="P10" s="11" t="str">
        <f aca="false">IF(AND($D10&lt;=P$5,$E10&gt;=P$4),"■","")</f>
        <v/>
      </c>
      <c r="Q10" s="11" t="str">
        <f aca="false">IF(AND($D10&lt;=Q$5,$E10&gt;=Q$4),"■","")</f>
        <v/>
      </c>
      <c r="R10" s="11" t="str">
        <f aca="false">IF(AND($D10&lt;=R$5,$E10&gt;=R$4),"■","")</f>
        <v/>
      </c>
      <c r="S10" s="11" t="str">
        <f aca="false">IF(AND($D10&lt;=S$5,$E10&gt;=S$4),"■","")</f>
        <v/>
      </c>
      <c r="T10" s="11" t="str">
        <f aca="false">IF(AND($D10&lt;=T$5,$E10&gt;=T$4),"■","")</f>
        <v/>
      </c>
      <c r="U10" s="11" t="str">
        <f aca="false">IF(AND($D10&lt;=U$5,$E10&gt;=U$4),"■","")</f>
        <v/>
      </c>
      <c r="V10" s="11" t="str">
        <f aca="false">IF(AND($D10&lt;=V$5,$E10&gt;=V$4),"■","")</f>
        <v/>
      </c>
      <c r="W10" s="11" t="str">
        <f aca="false">IF(AND($D10&lt;=W$5,$E10&gt;=W$4),"■","")</f>
        <v/>
      </c>
    </row>
    <row r="11" customFormat="false" ht="35.05" hidden="false" customHeight="false" outlineLevel="0" collapsed="false">
      <c r="A11" s="4" t="s">
        <v>170</v>
      </c>
      <c r="B11" s="4" t="s">
        <v>171</v>
      </c>
      <c r="C11" s="4" t="s">
        <v>172</v>
      </c>
      <c r="D11" s="10" t="n">
        <v>7</v>
      </c>
      <c r="E11" s="10" t="n">
        <v>30</v>
      </c>
      <c r="F11" s="4" t="s">
        <v>173</v>
      </c>
      <c r="G11" s="4" t="s">
        <v>174</v>
      </c>
      <c r="H11" s="4" t="s">
        <v>175</v>
      </c>
      <c r="I11" s="11" t="str">
        <f aca="false">IF(AND($D11&lt;=I$5,$E11&gt;=I$4),"■","")</f>
        <v/>
      </c>
      <c r="J11" s="11" t="str">
        <f aca="false">IF(AND($D11&lt;=J$5,$E11&gt;=J$4),"■","")</f>
        <v/>
      </c>
      <c r="K11" s="11" t="str">
        <f aca="false">IF(AND($D11&lt;=K$5,$E11&gt;=K$4),"■","")</f>
        <v>■</v>
      </c>
      <c r="L11" s="11" t="str">
        <f aca="false">IF(AND($D11&lt;=L$5,$E11&gt;=L$4),"■","")</f>
        <v>■</v>
      </c>
      <c r="M11" s="11" t="str">
        <f aca="false">IF(AND($D11&lt;=M$5,$E11&gt;=M$4),"■","")</f>
        <v>■</v>
      </c>
      <c r="N11" s="11" t="str">
        <f aca="false">IF(AND($D11&lt;=N$5,$E11&gt;=N$4),"■","")</f>
        <v>■</v>
      </c>
      <c r="O11" s="11" t="str">
        <f aca="false">IF(AND($D11&lt;=O$5,$E11&gt;=O$4),"■","")</f>
        <v/>
      </c>
      <c r="P11" s="11" t="str">
        <f aca="false">IF(AND($D11&lt;=P$5,$E11&gt;=P$4),"■","")</f>
        <v/>
      </c>
      <c r="Q11" s="11" t="str">
        <f aca="false">IF(AND($D11&lt;=Q$5,$E11&gt;=Q$4),"■","")</f>
        <v/>
      </c>
      <c r="R11" s="11" t="str">
        <f aca="false">IF(AND($D11&lt;=R$5,$E11&gt;=R$4),"■","")</f>
        <v/>
      </c>
      <c r="S11" s="11" t="str">
        <f aca="false">IF(AND($D11&lt;=S$5,$E11&gt;=S$4),"■","")</f>
        <v/>
      </c>
      <c r="T11" s="11" t="str">
        <f aca="false">IF(AND($D11&lt;=T$5,$E11&gt;=T$4),"■","")</f>
        <v/>
      </c>
      <c r="U11" s="11" t="str">
        <f aca="false">IF(AND($D11&lt;=U$5,$E11&gt;=U$4),"■","")</f>
        <v/>
      </c>
      <c r="V11" s="11" t="str">
        <f aca="false">IF(AND($D11&lt;=V$5,$E11&gt;=V$4),"■","")</f>
        <v/>
      </c>
      <c r="W11" s="11" t="str">
        <f aca="false">IF(AND($D11&lt;=W$5,$E11&gt;=W$4),"■","")</f>
        <v/>
      </c>
    </row>
    <row r="12" customFormat="false" ht="23.85" hidden="false" customHeight="false" outlineLevel="0" collapsed="false">
      <c r="A12" s="4" t="s">
        <v>176</v>
      </c>
      <c r="B12" s="4" t="s">
        <v>177</v>
      </c>
      <c r="C12" s="4" t="s">
        <v>178</v>
      </c>
      <c r="D12" s="10" t="n">
        <v>21</v>
      </c>
      <c r="E12" s="10" t="n">
        <v>75</v>
      </c>
      <c r="F12" s="4" t="s">
        <v>179</v>
      </c>
      <c r="G12" s="4" t="s">
        <v>180</v>
      </c>
      <c r="H12" s="4" t="s">
        <v>181</v>
      </c>
      <c r="I12" s="11" t="str">
        <f aca="false">IF(AND($D12&lt;=I$5,$E12&gt;=I$4),"■","")</f>
        <v/>
      </c>
      <c r="J12" s="11" t="str">
        <f aca="false">IF(AND($D12&lt;=J$5,$E12&gt;=J$4),"■","")</f>
        <v/>
      </c>
      <c r="K12" s="11" t="str">
        <f aca="false">IF(AND($D12&lt;=K$5,$E12&gt;=K$4),"■","")</f>
        <v/>
      </c>
      <c r="L12" s="11" t="str">
        <f aca="false">IF(AND($D12&lt;=L$5,$E12&gt;=L$4),"■","")</f>
        <v/>
      </c>
      <c r="M12" s="11" t="str">
        <f aca="false">IF(AND($D12&lt;=M$5,$E12&gt;=M$4),"■","")</f>
        <v>■</v>
      </c>
      <c r="N12" s="11" t="str">
        <f aca="false">IF(AND($D12&lt;=N$5,$E12&gt;=N$4),"■","")</f>
        <v>■</v>
      </c>
      <c r="O12" s="11" t="str">
        <f aca="false">IF(AND($D12&lt;=O$5,$E12&gt;=O$4),"■","")</f>
        <v>■</v>
      </c>
      <c r="P12" s="11" t="str">
        <f aca="false">IF(AND($D12&lt;=P$5,$E12&gt;=P$4),"■","")</f>
        <v>■</v>
      </c>
      <c r="Q12" s="11" t="str">
        <f aca="false">IF(AND($D12&lt;=Q$5,$E12&gt;=Q$4),"■","")</f>
        <v>■</v>
      </c>
      <c r="R12" s="11" t="str">
        <f aca="false">IF(AND($D12&lt;=R$5,$E12&gt;=R$4),"■","")</f>
        <v>■</v>
      </c>
      <c r="S12" s="11" t="str">
        <f aca="false">IF(AND($D12&lt;=S$5,$E12&gt;=S$4),"■","")</f>
        <v>■</v>
      </c>
      <c r="T12" s="11" t="str">
        <f aca="false">IF(AND($D12&lt;=T$5,$E12&gt;=T$4),"■","")</f>
        <v>■</v>
      </c>
      <c r="U12" s="11" t="str">
        <f aca="false">IF(AND($D12&lt;=U$5,$E12&gt;=U$4),"■","")</f>
        <v/>
      </c>
      <c r="V12" s="11" t="str">
        <f aca="false">IF(AND($D12&lt;=V$5,$E12&gt;=V$4),"■","")</f>
        <v/>
      </c>
      <c r="W12" s="11" t="str">
        <f aca="false">IF(AND($D12&lt;=W$5,$E12&gt;=W$4),"■","")</f>
        <v/>
      </c>
    </row>
    <row r="13" customFormat="false" ht="23.85" hidden="false" customHeight="false" outlineLevel="0" collapsed="false">
      <c r="A13" s="4" t="s">
        <v>182</v>
      </c>
      <c r="B13" s="4" t="s">
        <v>183</v>
      </c>
      <c r="C13" s="4" t="s">
        <v>184</v>
      </c>
      <c r="D13" s="10" t="n">
        <v>14</v>
      </c>
      <c r="E13" s="10" t="n">
        <v>85</v>
      </c>
      <c r="F13" s="4" t="s">
        <v>185</v>
      </c>
      <c r="G13" s="4" t="s">
        <v>186</v>
      </c>
      <c r="H13" s="4" t="s">
        <v>187</v>
      </c>
      <c r="I13" s="11" t="str">
        <f aca="false">IF(AND($D13&lt;=I$5,$E13&gt;=I$4),"■","")</f>
        <v/>
      </c>
      <c r="J13" s="11" t="str">
        <f aca="false">IF(AND($D13&lt;=J$5,$E13&gt;=J$4),"■","")</f>
        <v/>
      </c>
      <c r="K13" s="11" t="str">
        <f aca="false">IF(AND($D13&lt;=K$5,$E13&gt;=K$4),"■","")</f>
        <v/>
      </c>
      <c r="L13" s="11" t="str">
        <f aca="false">IF(AND($D13&lt;=L$5,$E13&gt;=L$4),"■","")</f>
        <v>■</v>
      </c>
      <c r="M13" s="11" t="str">
        <f aca="false">IF(AND($D13&lt;=M$5,$E13&gt;=M$4),"■","")</f>
        <v>■</v>
      </c>
      <c r="N13" s="11" t="str">
        <f aca="false">IF(AND($D13&lt;=N$5,$E13&gt;=N$4),"■","")</f>
        <v>■</v>
      </c>
      <c r="O13" s="11" t="str">
        <f aca="false">IF(AND($D13&lt;=O$5,$E13&gt;=O$4),"■","")</f>
        <v>■</v>
      </c>
      <c r="P13" s="11" t="str">
        <f aca="false">IF(AND($D13&lt;=P$5,$E13&gt;=P$4),"■","")</f>
        <v>■</v>
      </c>
      <c r="Q13" s="11" t="str">
        <f aca="false">IF(AND($D13&lt;=Q$5,$E13&gt;=Q$4),"■","")</f>
        <v>■</v>
      </c>
      <c r="R13" s="11" t="str">
        <f aca="false">IF(AND($D13&lt;=R$5,$E13&gt;=R$4),"■","")</f>
        <v>■</v>
      </c>
      <c r="S13" s="11" t="str">
        <f aca="false">IF(AND($D13&lt;=S$5,$E13&gt;=S$4),"■","")</f>
        <v>■</v>
      </c>
      <c r="T13" s="11" t="str">
        <f aca="false">IF(AND($D13&lt;=T$5,$E13&gt;=T$4),"■","")</f>
        <v>■</v>
      </c>
      <c r="U13" s="11" t="str">
        <f aca="false">IF(AND($D13&lt;=U$5,$E13&gt;=U$4),"■","")</f>
        <v>■</v>
      </c>
      <c r="V13" s="11" t="str">
        <f aca="false">IF(AND($D13&lt;=V$5,$E13&gt;=V$4),"■","")</f>
        <v>■</v>
      </c>
      <c r="W13" s="11" t="str">
        <f aca="false">IF(AND($D13&lt;=W$5,$E13&gt;=W$4),"■","")</f>
        <v/>
      </c>
    </row>
    <row r="14" customFormat="false" ht="35.05" hidden="false" customHeight="false" outlineLevel="0" collapsed="false">
      <c r="A14" s="4" t="s">
        <v>188</v>
      </c>
      <c r="B14" s="4" t="s">
        <v>189</v>
      </c>
      <c r="C14" s="4" t="s">
        <v>190</v>
      </c>
      <c r="D14" s="10" t="n">
        <v>7</v>
      </c>
      <c r="E14" s="10" t="n">
        <v>90</v>
      </c>
      <c r="F14" s="4" t="s">
        <v>191</v>
      </c>
      <c r="G14" s="4" t="s">
        <v>192</v>
      </c>
      <c r="H14" s="4" t="s">
        <v>193</v>
      </c>
      <c r="I14" s="11" t="str">
        <f aca="false">IF(AND($D14&lt;=I$5,$E14&gt;=I$4),"■","")</f>
        <v/>
      </c>
      <c r="J14" s="11" t="str">
        <f aca="false">IF(AND($D14&lt;=J$5,$E14&gt;=J$4),"■","")</f>
        <v/>
      </c>
      <c r="K14" s="11" t="str">
        <f aca="false">IF(AND($D14&lt;=K$5,$E14&gt;=K$4),"■","")</f>
        <v>■</v>
      </c>
      <c r="L14" s="11" t="str">
        <f aca="false">IF(AND($D14&lt;=L$5,$E14&gt;=L$4),"■","")</f>
        <v>■</v>
      </c>
      <c r="M14" s="11" t="str">
        <f aca="false">IF(AND($D14&lt;=M$5,$E14&gt;=M$4),"■","")</f>
        <v>■</v>
      </c>
      <c r="N14" s="11" t="str">
        <f aca="false">IF(AND($D14&lt;=N$5,$E14&gt;=N$4),"■","")</f>
        <v>■</v>
      </c>
      <c r="O14" s="11" t="str">
        <f aca="false">IF(AND($D14&lt;=O$5,$E14&gt;=O$4),"■","")</f>
        <v>■</v>
      </c>
      <c r="P14" s="11" t="str">
        <f aca="false">IF(AND($D14&lt;=P$5,$E14&gt;=P$4),"■","")</f>
        <v>■</v>
      </c>
      <c r="Q14" s="11" t="str">
        <f aca="false">IF(AND($D14&lt;=Q$5,$E14&gt;=Q$4),"■","")</f>
        <v>■</v>
      </c>
      <c r="R14" s="11" t="str">
        <f aca="false">IF(AND($D14&lt;=R$5,$E14&gt;=R$4),"■","")</f>
        <v>■</v>
      </c>
      <c r="S14" s="11" t="str">
        <f aca="false">IF(AND($D14&lt;=S$5,$E14&gt;=S$4),"■","")</f>
        <v>■</v>
      </c>
      <c r="T14" s="11" t="str">
        <f aca="false">IF(AND($D14&lt;=T$5,$E14&gt;=T$4),"■","")</f>
        <v>■</v>
      </c>
      <c r="U14" s="11" t="str">
        <f aca="false">IF(AND($D14&lt;=U$5,$E14&gt;=U$4),"■","")</f>
        <v>■</v>
      </c>
      <c r="V14" s="11" t="str">
        <f aca="false">IF(AND($D14&lt;=V$5,$E14&gt;=V$4),"■","")</f>
        <v>■</v>
      </c>
      <c r="W14" s="11" t="str">
        <f aca="false">IF(AND($D14&lt;=W$5,$E14&gt;=W$4),"■","")</f>
        <v/>
      </c>
    </row>
    <row r="15" customFormat="false" ht="23.85" hidden="false" customHeight="false" outlineLevel="0" collapsed="false">
      <c r="A15" s="4" t="s">
        <v>194</v>
      </c>
      <c r="B15" s="4" t="s">
        <v>195</v>
      </c>
      <c r="C15" s="4" t="s">
        <v>196</v>
      </c>
      <c r="D15" s="10" t="n">
        <v>60</v>
      </c>
      <c r="E15" s="10" t="n">
        <v>90</v>
      </c>
      <c r="F15" s="4" t="s">
        <v>197</v>
      </c>
      <c r="G15" s="4" t="s">
        <v>198</v>
      </c>
      <c r="H15" s="4" t="s">
        <v>199</v>
      </c>
      <c r="I15" s="11" t="str">
        <f aca="false">IF(AND($D15&lt;=I$5,$E15&gt;=I$4),"■","")</f>
        <v/>
      </c>
      <c r="J15" s="11" t="str">
        <f aca="false">IF(AND($D15&lt;=J$5,$E15&gt;=J$4),"■","")</f>
        <v/>
      </c>
      <c r="K15" s="11" t="str">
        <f aca="false">IF(AND($D15&lt;=K$5,$E15&gt;=K$4),"■","")</f>
        <v/>
      </c>
      <c r="L15" s="11" t="str">
        <f aca="false">IF(AND($D15&lt;=L$5,$E15&gt;=L$4),"■","")</f>
        <v/>
      </c>
      <c r="M15" s="11" t="str">
        <f aca="false">IF(AND($D15&lt;=M$5,$E15&gt;=M$4),"■","")</f>
        <v/>
      </c>
      <c r="N15" s="11" t="str">
        <f aca="false">IF(AND($D15&lt;=N$5,$E15&gt;=N$4),"■","")</f>
        <v/>
      </c>
      <c r="O15" s="11" t="str">
        <f aca="false">IF(AND($D15&lt;=O$5,$E15&gt;=O$4),"■","")</f>
        <v/>
      </c>
      <c r="P15" s="11" t="str">
        <f aca="false">IF(AND($D15&lt;=P$5,$E15&gt;=P$4),"■","")</f>
        <v/>
      </c>
      <c r="Q15" s="11" t="str">
        <f aca="false">IF(AND($D15&lt;=Q$5,$E15&gt;=Q$4),"■","")</f>
        <v/>
      </c>
      <c r="R15" s="11" t="str">
        <f aca="false">IF(AND($D15&lt;=R$5,$E15&gt;=R$4),"■","")</f>
        <v>■</v>
      </c>
      <c r="S15" s="11" t="str">
        <f aca="false">IF(AND($D15&lt;=S$5,$E15&gt;=S$4),"■","")</f>
        <v>■</v>
      </c>
      <c r="T15" s="11" t="str">
        <f aca="false">IF(AND($D15&lt;=T$5,$E15&gt;=T$4),"■","")</f>
        <v>■</v>
      </c>
      <c r="U15" s="11" t="str">
        <f aca="false">IF(AND($D15&lt;=U$5,$E15&gt;=U$4),"■","")</f>
        <v>■</v>
      </c>
      <c r="V15" s="11" t="str">
        <f aca="false">IF(AND($D15&lt;=V$5,$E15&gt;=V$4),"■","")</f>
        <v>■</v>
      </c>
      <c r="W15" s="11" t="str">
        <f aca="false">IF(AND($D15&lt;=W$5,$E15&gt;=W$4),"■","")</f>
        <v/>
      </c>
    </row>
    <row r="16" customFormat="false" ht="23.85" hidden="false" customHeight="false" outlineLevel="0" collapsed="false">
      <c r="A16" s="4" t="s">
        <v>200</v>
      </c>
      <c r="B16" s="4" t="s">
        <v>201</v>
      </c>
      <c r="C16" s="4" t="s">
        <v>202</v>
      </c>
      <c r="D16" s="10" t="n">
        <v>90</v>
      </c>
      <c r="E16" s="10" t="n">
        <v>270</v>
      </c>
      <c r="F16" s="4" t="s">
        <v>203</v>
      </c>
      <c r="G16" s="4" t="s">
        <v>204</v>
      </c>
      <c r="H16" s="4" t="s">
        <v>205</v>
      </c>
      <c r="I16" s="11" t="str">
        <f aca="false">IF(AND($D16&lt;=I$5,$E16&gt;=I$4),"■","")</f>
        <v/>
      </c>
      <c r="J16" s="11" t="str">
        <f aca="false">IF(AND($D16&lt;=J$5,$E16&gt;=J$4),"■","")</f>
        <v/>
      </c>
      <c r="K16" s="11" t="str">
        <f aca="false">IF(AND($D16&lt;=K$5,$E16&gt;=K$4),"■","")</f>
        <v/>
      </c>
      <c r="L16" s="11" t="str">
        <f aca="false">IF(AND($D16&lt;=L$5,$E16&gt;=L$4),"■","")</f>
        <v/>
      </c>
      <c r="M16" s="11" t="str">
        <f aca="false">IF(AND($D16&lt;=M$5,$E16&gt;=M$4),"■","")</f>
        <v/>
      </c>
      <c r="N16" s="11" t="str">
        <f aca="false">IF(AND($D16&lt;=N$5,$E16&gt;=N$4),"■","")</f>
        <v/>
      </c>
      <c r="O16" s="11" t="str">
        <f aca="false">IF(AND($D16&lt;=O$5,$E16&gt;=O$4),"■","")</f>
        <v/>
      </c>
      <c r="P16" s="11" t="str">
        <f aca="false">IF(AND($D16&lt;=P$5,$E16&gt;=P$4),"■","")</f>
        <v/>
      </c>
      <c r="Q16" s="11" t="str">
        <f aca="false">IF(AND($D16&lt;=Q$5,$E16&gt;=Q$4),"■","")</f>
        <v/>
      </c>
      <c r="R16" s="11" t="str">
        <f aca="false">IF(AND($D16&lt;=R$5,$E16&gt;=R$4),"■","")</f>
        <v/>
      </c>
      <c r="S16" s="11" t="str">
        <f aca="false">IF(AND($D16&lt;=S$5,$E16&gt;=S$4),"■","")</f>
        <v/>
      </c>
      <c r="T16" s="11" t="str">
        <f aca="false">IF(AND($D16&lt;=T$5,$E16&gt;=T$4),"■","")</f>
        <v/>
      </c>
      <c r="U16" s="11" t="str">
        <f aca="false">IF(AND($D16&lt;=U$5,$E16&gt;=U$4),"■","")</f>
        <v/>
      </c>
      <c r="V16" s="11" t="str">
        <f aca="false">IF(AND($D16&lt;=V$5,$E16&gt;=V$4),"■","")</f>
        <v>■</v>
      </c>
      <c r="W16" s="11" t="str">
        <f aca="false">IF(AND($D16&lt;=W$5,$E16&gt;=W$4),"■","")</f>
        <v>■</v>
      </c>
    </row>
  </sheetData>
  <conditionalFormatting sqref="I7:W16">
    <cfRule type="cellIs" priority="2" operator="equal" aboveAverage="0" equalAverage="0" bottom="0" percent="0" rank="0" text="" dxfId="0">
      <formula>"■"</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7A"/>
    <pageSetUpPr fitToPage="false"/>
  </sheetPr>
  <dimension ref="A1:J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2"/>
    <col collapsed="false" customWidth="true" hidden="false" outlineLevel="0" max="3" min="3" style="0" width="20"/>
    <col collapsed="false" customWidth="true" hidden="false" outlineLevel="0" max="4" min="4" style="0" width="40"/>
    <col collapsed="false" customWidth="true" hidden="false" outlineLevel="0" max="5" min="5" style="0" width="34"/>
    <col collapsed="false" customWidth="true" hidden="false" outlineLevel="0" max="6" min="6" style="0" width="44"/>
    <col collapsed="false" customWidth="true" hidden="false" outlineLevel="0" max="7" min="7" style="0" width="30"/>
    <col collapsed="false" customWidth="true" hidden="false" outlineLevel="0" max="8" min="8" style="0" width="40"/>
    <col collapsed="false" customWidth="true" hidden="false" outlineLevel="0" max="9" min="9" style="0" width="20"/>
    <col collapsed="false" customWidth="true" hidden="false" outlineLevel="0" max="10" min="10" style="0" width="30"/>
  </cols>
  <sheetData>
    <row r="1" customFormat="false" ht="17.35" hidden="false" customHeight="false" outlineLevel="0" collapsed="false">
      <c r="A1" s="1" t="s">
        <v>8</v>
      </c>
    </row>
    <row r="2" customFormat="false" ht="15" hidden="false" customHeight="false" outlineLevel="0" collapsed="false">
      <c r="A2" s="2" t="s">
        <v>206</v>
      </c>
    </row>
    <row r="4" customFormat="false" ht="30" hidden="false" customHeight="true" outlineLevel="0" collapsed="false">
      <c r="A4" s="3" t="s">
        <v>207</v>
      </c>
      <c r="B4" s="3" t="s">
        <v>208</v>
      </c>
      <c r="C4" s="3" t="s">
        <v>209</v>
      </c>
      <c r="D4" s="3" t="s">
        <v>210</v>
      </c>
      <c r="E4" s="3" t="s">
        <v>32</v>
      </c>
      <c r="F4" s="3" t="s">
        <v>34</v>
      </c>
      <c r="G4" s="3" t="s">
        <v>36</v>
      </c>
      <c r="H4" s="3" t="s">
        <v>211</v>
      </c>
      <c r="I4" s="3" t="s">
        <v>212</v>
      </c>
      <c r="J4" s="3" t="s">
        <v>213</v>
      </c>
    </row>
    <row r="5" customFormat="false" ht="102.2" hidden="false" customHeight="false" outlineLevel="0" collapsed="false">
      <c r="A5" s="4" t="s">
        <v>214</v>
      </c>
      <c r="B5" s="4" t="s">
        <v>215</v>
      </c>
      <c r="C5" s="4" t="s">
        <v>216</v>
      </c>
      <c r="D5" s="4" t="s">
        <v>217</v>
      </c>
      <c r="E5" s="4" t="s">
        <v>218</v>
      </c>
      <c r="F5" s="4" t="s">
        <v>219</v>
      </c>
      <c r="G5" s="4" t="s">
        <v>219</v>
      </c>
      <c r="H5" s="4" t="s">
        <v>220</v>
      </c>
      <c r="I5" s="4" t="s">
        <v>219</v>
      </c>
      <c r="J5" s="4"/>
    </row>
    <row r="6" customFormat="false" ht="135.8" hidden="false" customHeight="false" outlineLevel="0" collapsed="false">
      <c r="A6" s="4" t="s">
        <v>221</v>
      </c>
      <c r="B6" s="4" t="s">
        <v>101</v>
      </c>
      <c r="C6" s="4" t="s">
        <v>222</v>
      </c>
      <c r="D6" s="4" t="s">
        <v>223</v>
      </c>
      <c r="E6" s="4" t="s">
        <v>224</v>
      </c>
      <c r="F6" s="4" t="s">
        <v>225</v>
      </c>
      <c r="G6" s="4" t="s">
        <v>226</v>
      </c>
      <c r="H6" s="4" t="s">
        <v>227</v>
      </c>
      <c r="I6" s="4" t="s">
        <v>228</v>
      </c>
      <c r="J6" s="4"/>
    </row>
    <row r="7" customFormat="false" ht="102.2" hidden="false" customHeight="false" outlineLevel="0" collapsed="false">
      <c r="A7" s="4" t="s">
        <v>221</v>
      </c>
      <c r="B7" s="4" t="s">
        <v>229</v>
      </c>
      <c r="C7" s="4" t="s">
        <v>230</v>
      </c>
      <c r="D7" s="4" t="s">
        <v>231</v>
      </c>
      <c r="E7" s="4" t="s">
        <v>232</v>
      </c>
      <c r="F7" s="4" t="s">
        <v>233</v>
      </c>
      <c r="G7" s="4" t="s">
        <v>219</v>
      </c>
      <c r="H7" s="4" t="s">
        <v>234</v>
      </c>
      <c r="I7" s="4" t="s">
        <v>235</v>
      </c>
      <c r="J7" s="4"/>
    </row>
    <row r="8" customFormat="false" ht="68.65" hidden="false" customHeight="false" outlineLevel="0" collapsed="false">
      <c r="A8" s="4" t="s">
        <v>221</v>
      </c>
      <c r="B8" s="4" t="s">
        <v>236</v>
      </c>
      <c r="C8" s="4" t="s">
        <v>237</v>
      </c>
      <c r="D8" s="4" t="s">
        <v>238</v>
      </c>
      <c r="E8" s="4" t="s">
        <v>219</v>
      </c>
      <c r="F8" s="4" t="s">
        <v>239</v>
      </c>
      <c r="G8" s="4" t="s">
        <v>219</v>
      </c>
      <c r="H8" s="4" t="s">
        <v>240</v>
      </c>
      <c r="I8" s="4" t="s">
        <v>241</v>
      </c>
      <c r="J8" s="4"/>
    </row>
    <row r="9" customFormat="false" ht="79.85" hidden="false" customHeight="false" outlineLevel="0" collapsed="false">
      <c r="A9" s="4" t="s">
        <v>242</v>
      </c>
      <c r="B9" s="4" t="s">
        <v>243</v>
      </c>
      <c r="C9" s="4" t="s">
        <v>165</v>
      </c>
      <c r="D9" s="4" t="s">
        <v>244</v>
      </c>
      <c r="E9" s="4" t="s">
        <v>245</v>
      </c>
      <c r="F9" s="4" t="s">
        <v>246</v>
      </c>
      <c r="G9" s="4" t="s">
        <v>219</v>
      </c>
      <c r="H9" s="4" t="s">
        <v>247</v>
      </c>
      <c r="I9" s="4" t="s">
        <v>248</v>
      </c>
      <c r="J9" s="4"/>
    </row>
    <row r="10" customFormat="false" ht="91" hidden="false" customHeight="false" outlineLevel="0" collapsed="false">
      <c r="A10" s="4" t="s">
        <v>249</v>
      </c>
      <c r="B10" s="4" t="s">
        <v>250</v>
      </c>
      <c r="C10" s="4" t="s">
        <v>171</v>
      </c>
      <c r="D10" s="4" t="s">
        <v>251</v>
      </c>
      <c r="E10" s="4" t="s">
        <v>219</v>
      </c>
      <c r="F10" s="4" t="s">
        <v>252</v>
      </c>
      <c r="G10" s="4" t="s">
        <v>219</v>
      </c>
      <c r="H10" s="4" t="s">
        <v>253</v>
      </c>
      <c r="I10" s="4" t="s">
        <v>254</v>
      </c>
      <c r="J10" s="4"/>
    </row>
    <row r="11" customFormat="false" ht="79.85" hidden="false" customHeight="false" outlineLevel="0" collapsed="false">
      <c r="A11" s="4" t="s">
        <v>255</v>
      </c>
      <c r="B11" s="4" t="s">
        <v>256</v>
      </c>
      <c r="C11" s="4" t="s">
        <v>257</v>
      </c>
      <c r="D11" s="4" t="s">
        <v>258</v>
      </c>
      <c r="E11" s="4" t="s">
        <v>259</v>
      </c>
      <c r="F11" s="4" t="s">
        <v>260</v>
      </c>
      <c r="G11" s="4" t="s">
        <v>219</v>
      </c>
      <c r="H11" s="4" t="s">
        <v>261</v>
      </c>
      <c r="I11" s="4" t="s">
        <v>219</v>
      </c>
      <c r="J11" s="4"/>
    </row>
    <row r="12" customFormat="false" ht="79.85" hidden="false" customHeight="false" outlineLevel="0" collapsed="false">
      <c r="A12" s="4" t="s">
        <v>262</v>
      </c>
      <c r="B12" s="4" t="s">
        <v>263</v>
      </c>
      <c r="C12" s="4" t="s">
        <v>264</v>
      </c>
      <c r="D12" s="4" t="s">
        <v>265</v>
      </c>
      <c r="E12" s="4" t="s">
        <v>219</v>
      </c>
      <c r="F12" s="4" t="s">
        <v>266</v>
      </c>
      <c r="G12" s="4" t="s">
        <v>219</v>
      </c>
      <c r="H12" s="4" t="s">
        <v>267</v>
      </c>
      <c r="I12" s="4" t="s">
        <v>268</v>
      </c>
      <c r="J12" s="4" t="s">
        <v>269</v>
      </c>
    </row>
    <row r="13" customFormat="false" ht="46.25" hidden="false" customHeight="false" outlineLevel="0" collapsed="false">
      <c r="A13" s="4" t="s">
        <v>270</v>
      </c>
      <c r="B13" s="4" t="s">
        <v>271</v>
      </c>
      <c r="C13" s="4" t="s">
        <v>272</v>
      </c>
      <c r="D13" s="4" t="s">
        <v>273</v>
      </c>
      <c r="E13" s="4" t="s">
        <v>274</v>
      </c>
      <c r="F13" s="4" t="s">
        <v>275</v>
      </c>
      <c r="G13" s="4" t="s">
        <v>219</v>
      </c>
      <c r="H13" s="4" t="s">
        <v>276</v>
      </c>
      <c r="I13" s="4" t="s">
        <v>277</v>
      </c>
      <c r="J13" s="4"/>
    </row>
    <row r="14" customFormat="false" ht="57.45" hidden="false" customHeight="false" outlineLevel="0" collapsed="false">
      <c r="A14" s="4" t="s">
        <v>278</v>
      </c>
      <c r="B14" s="4" t="s">
        <v>278</v>
      </c>
      <c r="C14" s="4" t="s">
        <v>279</v>
      </c>
      <c r="D14" s="4" t="s">
        <v>219</v>
      </c>
      <c r="E14" s="4" t="s">
        <v>280</v>
      </c>
      <c r="F14" s="4" t="s">
        <v>281</v>
      </c>
      <c r="G14" s="4" t="s">
        <v>219</v>
      </c>
      <c r="H14" s="4" t="s">
        <v>282</v>
      </c>
      <c r="I14" s="4" t="s">
        <v>283</v>
      </c>
      <c r="J14" s="4" t="s">
        <v>284</v>
      </c>
    </row>
    <row r="15" customFormat="false" ht="35.05" hidden="false" customHeight="false" outlineLevel="0" collapsed="false">
      <c r="A15" s="4" t="s">
        <v>285</v>
      </c>
      <c r="B15" s="4" t="s">
        <v>285</v>
      </c>
      <c r="C15" s="4" t="s">
        <v>286</v>
      </c>
      <c r="D15" s="4" t="s">
        <v>287</v>
      </c>
      <c r="E15" s="4" t="s">
        <v>288</v>
      </c>
      <c r="F15" s="4" t="s">
        <v>289</v>
      </c>
      <c r="G15" s="4" t="s">
        <v>219</v>
      </c>
      <c r="H15" s="4" t="s">
        <v>290</v>
      </c>
      <c r="I15" s="4" t="s">
        <v>291</v>
      </c>
      <c r="J15" s="4" t="s">
        <v>292</v>
      </c>
    </row>
    <row r="16" customFormat="false" ht="35.05" hidden="false" customHeight="false" outlineLevel="0" collapsed="false">
      <c r="A16" s="4" t="s">
        <v>293</v>
      </c>
      <c r="B16" s="4" t="s">
        <v>294</v>
      </c>
      <c r="C16" s="4" t="s">
        <v>295</v>
      </c>
      <c r="D16" s="4" t="s">
        <v>296</v>
      </c>
      <c r="E16" s="4" t="s">
        <v>219</v>
      </c>
      <c r="F16" s="4" t="s">
        <v>297</v>
      </c>
      <c r="G16" s="4" t="s">
        <v>219</v>
      </c>
      <c r="H16" s="4" t="s">
        <v>219</v>
      </c>
      <c r="I16" s="4" t="s">
        <v>298</v>
      </c>
      <c r="J16" s="4"/>
    </row>
    <row r="17" customFormat="false" ht="46.25" hidden="false" customHeight="false" outlineLevel="0" collapsed="false">
      <c r="A17" s="4" t="s">
        <v>299</v>
      </c>
      <c r="B17" s="4" t="s">
        <v>299</v>
      </c>
      <c r="C17" s="4" t="s">
        <v>300</v>
      </c>
      <c r="D17" s="4" t="s">
        <v>301</v>
      </c>
      <c r="E17" s="4" t="s">
        <v>302</v>
      </c>
      <c r="F17" s="4" t="s">
        <v>303</v>
      </c>
      <c r="G17" s="4" t="s">
        <v>304</v>
      </c>
      <c r="H17" s="4" t="s">
        <v>305</v>
      </c>
      <c r="I17" s="4" t="s">
        <v>306</v>
      </c>
      <c r="J17" s="4" t="s">
        <v>307</v>
      </c>
    </row>
    <row r="18" customFormat="false" ht="68.65" hidden="false" customHeight="false" outlineLevel="0" collapsed="false">
      <c r="A18" s="4" t="s">
        <v>308</v>
      </c>
      <c r="B18" s="4" t="s">
        <v>309</v>
      </c>
      <c r="C18" s="4" t="s">
        <v>310</v>
      </c>
      <c r="D18" s="4" t="s">
        <v>311</v>
      </c>
      <c r="E18" s="4" t="s">
        <v>219</v>
      </c>
      <c r="F18" s="4" t="s">
        <v>312</v>
      </c>
      <c r="G18" s="4" t="s">
        <v>219</v>
      </c>
      <c r="H18" s="4" t="s">
        <v>313</v>
      </c>
      <c r="I18" s="4" t="s">
        <v>314</v>
      </c>
      <c r="J18" s="4"/>
    </row>
    <row r="19" customFormat="false" ht="68.65" hidden="false" customHeight="false" outlineLevel="0" collapsed="false">
      <c r="A19" s="4" t="s">
        <v>315</v>
      </c>
      <c r="B19" s="4" t="s">
        <v>316</v>
      </c>
      <c r="C19" s="4" t="s">
        <v>317</v>
      </c>
      <c r="D19" s="4" t="s">
        <v>318</v>
      </c>
      <c r="E19" s="4" t="s">
        <v>319</v>
      </c>
      <c r="F19" s="4" t="s">
        <v>320</v>
      </c>
      <c r="G19" s="4" t="s">
        <v>219</v>
      </c>
      <c r="H19" s="4" t="s">
        <v>321</v>
      </c>
      <c r="I19" s="4" t="s">
        <v>322</v>
      </c>
      <c r="J19" s="4"/>
    </row>
    <row r="21" customFormat="false" ht="15" hidden="false" customHeight="false" outlineLevel="0" collapsed="false">
      <c r="A21" s="5" t="s">
        <v>323</v>
      </c>
    </row>
    <row r="22" customFormat="false" ht="30" hidden="false" customHeight="true" outlineLevel="0" collapsed="false">
      <c r="A22" s="3" t="s">
        <v>324</v>
      </c>
      <c r="B22" s="3" t="s">
        <v>325</v>
      </c>
    </row>
    <row r="23" customFormat="false" ht="57.45" hidden="false" customHeight="false" outlineLevel="0" collapsed="false">
      <c r="A23" s="4" t="s">
        <v>326</v>
      </c>
      <c r="B23" s="4" t="s">
        <v>327</v>
      </c>
    </row>
    <row r="24" customFormat="false" ht="46.25" hidden="false" customHeight="false" outlineLevel="0" collapsed="false">
      <c r="A24" s="4" t="s">
        <v>328</v>
      </c>
      <c r="B24" s="4" t="s">
        <v>329</v>
      </c>
    </row>
    <row r="25" customFormat="false" ht="91" hidden="false" customHeight="false" outlineLevel="0" collapsed="false">
      <c r="A25" s="4" t="s">
        <v>330</v>
      </c>
      <c r="B25" s="4" t="s">
        <v>331</v>
      </c>
    </row>
    <row r="26" customFormat="false" ht="46.25" hidden="false" customHeight="false" outlineLevel="0" collapsed="false">
      <c r="A26" s="4" t="s">
        <v>332</v>
      </c>
      <c r="B26" s="4" t="s">
        <v>333</v>
      </c>
    </row>
    <row r="27" customFormat="false" ht="135.8" hidden="false" customHeight="false" outlineLevel="0" collapsed="false">
      <c r="A27" s="4" t="s">
        <v>334</v>
      </c>
      <c r="B27" s="4" t="s">
        <v>335</v>
      </c>
    </row>
    <row r="28" customFormat="false" ht="135.8" hidden="false" customHeight="false" outlineLevel="0" collapsed="false">
      <c r="A28" s="4" t="s">
        <v>336</v>
      </c>
      <c r="B28" s="4" t="s">
        <v>337</v>
      </c>
    </row>
    <row r="30" customFormat="false" ht="15" hidden="false" customHeight="false" outlineLevel="0" collapsed="false">
      <c r="A30" s="5" t="s">
        <v>338</v>
      </c>
    </row>
    <row r="31" customFormat="false" ht="30" hidden="false" customHeight="true" outlineLevel="0" collapsed="false">
      <c r="A31" s="3" t="s">
        <v>339</v>
      </c>
      <c r="B31" s="3" t="s">
        <v>340</v>
      </c>
    </row>
    <row r="32" customFormat="false" ht="46.25" hidden="false" customHeight="false" outlineLevel="0" collapsed="false">
      <c r="A32" s="4" t="s">
        <v>341</v>
      </c>
      <c r="B32" s="4" t="s">
        <v>342</v>
      </c>
    </row>
    <row r="33" customFormat="false" ht="113.4" hidden="false" customHeight="false" outlineLevel="0" collapsed="false">
      <c r="A33" s="4" t="s">
        <v>343</v>
      </c>
      <c r="B33" s="4" t="s">
        <v>344</v>
      </c>
    </row>
    <row r="34" customFormat="false" ht="102.2" hidden="false" customHeight="false" outlineLevel="0" collapsed="false">
      <c r="A34" s="4" t="s">
        <v>345</v>
      </c>
      <c r="B34" s="4" t="s">
        <v>346</v>
      </c>
    </row>
    <row r="35" customFormat="false" ht="158.2" hidden="false" customHeight="false" outlineLevel="0" collapsed="false">
      <c r="A35" s="4" t="s">
        <v>347</v>
      </c>
      <c r="B35" s="4" t="s">
        <v>348</v>
      </c>
    </row>
    <row r="36" customFormat="false" ht="124.6" hidden="false" customHeight="false" outlineLevel="0" collapsed="false">
      <c r="A36" s="4" t="s">
        <v>349</v>
      </c>
      <c r="B36" s="4" t="s">
        <v>350</v>
      </c>
    </row>
    <row r="37" customFormat="false" ht="79.85" hidden="false" customHeight="false" outlineLevel="0" collapsed="false">
      <c r="A37" s="4" t="s">
        <v>351</v>
      </c>
      <c r="B37" s="4" t="s">
        <v>352</v>
      </c>
    </row>
    <row r="38" customFormat="false" ht="124.6" hidden="false" customHeight="false" outlineLevel="0" collapsed="false">
      <c r="A38" s="4" t="s">
        <v>353</v>
      </c>
      <c r="B38" s="4" t="s">
        <v>354</v>
      </c>
    </row>
    <row r="40" customFormat="false" ht="15" hidden="false" customHeight="false" outlineLevel="0" collapsed="false">
      <c r="A40" s="5" t="s">
        <v>355</v>
      </c>
    </row>
    <row r="41" customFormat="false" ht="30" hidden="false" customHeight="true" outlineLevel="0" collapsed="false">
      <c r="A41" s="3" t="s">
        <v>325</v>
      </c>
      <c r="B41" s="3" t="s">
        <v>356</v>
      </c>
      <c r="C41" s="3" t="s">
        <v>340</v>
      </c>
    </row>
    <row r="42" customFormat="false" ht="35.05" hidden="false" customHeight="false" outlineLevel="0" collapsed="false">
      <c r="A42" s="4" t="s">
        <v>357</v>
      </c>
      <c r="B42" s="4" t="s">
        <v>211</v>
      </c>
      <c r="C42" s="4" t="s">
        <v>358</v>
      </c>
    </row>
    <row r="43" customFormat="false" ht="46.25" hidden="false" customHeight="false" outlineLevel="0" collapsed="false">
      <c r="A43" s="4" t="s">
        <v>359</v>
      </c>
      <c r="B43" s="4" t="s">
        <v>211</v>
      </c>
      <c r="C43" s="4" t="s">
        <v>360</v>
      </c>
    </row>
    <row r="44" customFormat="false" ht="46.25" hidden="false" customHeight="false" outlineLevel="0" collapsed="false">
      <c r="A44" s="4" t="s">
        <v>361</v>
      </c>
      <c r="B44" s="4" t="s">
        <v>34</v>
      </c>
      <c r="C44" s="4" t="s">
        <v>362</v>
      </c>
    </row>
    <row r="45" customFormat="false" ht="23.85" hidden="false" customHeight="false" outlineLevel="0" collapsed="false">
      <c r="A45" s="4" t="s">
        <v>363</v>
      </c>
      <c r="B45" s="4" t="s">
        <v>210</v>
      </c>
      <c r="C45" s="4" t="s">
        <v>364</v>
      </c>
    </row>
    <row r="46" customFormat="false" ht="23.85" hidden="false" customHeight="false" outlineLevel="0" collapsed="false">
      <c r="A46" s="4" t="s">
        <v>363</v>
      </c>
      <c r="B46" s="4" t="s">
        <v>34</v>
      </c>
      <c r="C46" s="4" t="s">
        <v>365</v>
      </c>
    </row>
    <row r="47" customFormat="false" ht="35.05" hidden="false" customHeight="false" outlineLevel="0" collapsed="false">
      <c r="A47" s="4" t="s">
        <v>366</v>
      </c>
      <c r="B47" s="4" t="s">
        <v>367</v>
      </c>
      <c r="C47" s="4" t="s">
        <v>368</v>
      </c>
    </row>
    <row r="48" customFormat="false" ht="35.05" hidden="false" customHeight="false" outlineLevel="0" collapsed="false">
      <c r="A48" s="4" t="s">
        <v>369</v>
      </c>
      <c r="B48" s="4" t="s">
        <v>211</v>
      </c>
      <c r="C48" s="4" t="s">
        <v>370</v>
      </c>
    </row>
    <row r="49" customFormat="false" ht="46.25" hidden="false" customHeight="false" outlineLevel="0" collapsed="false">
      <c r="A49" s="4" t="s">
        <v>371</v>
      </c>
      <c r="B49" s="4" t="s">
        <v>34</v>
      </c>
      <c r="C49" s="4" t="s">
        <v>372</v>
      </c>
    </row>
    <row r="51" customFormat="false" ht="15" hidden="false" customHeight="false" outlineLevel="0" collapsed="false">
      <c r="A51" s="5" t="s">
        <v>373</v>
      </c>
    </row>
    <row r="52" customFormat="false" ht="30" hidden="false" customHeight="true" outlineLevel="0" collapsed="false">
      <c r="A52" s="3" t="s">
        <v>374</v>
      </c>
      <c r="B52" s="3" t="s">
        <v>375</v>
      </c>
    </row>
    <row r="53" customFormat="false" ht="124.6" hidden="false" customHeight="false" outlineLevel="0" collapsed="false">
      <c r="A53" s="4" t="s">
        <v>376</v>
      </c>
      <c r="B53" s="4" t="s">
        <v>377</v>
      </c>
    </row>
    <row r="54" customFormat="false" ht="57.45" hidden="false" customHeight="false" outlineLevel="0" collapsed="false">
      <c r="A54" s="4" t="s">
        <v>378</v>
      </c>
      <c r="B54" s="4" t="s">
        <v>379</v>
      </c>
    </row>
    <row r="55" customFormat="false" ht="147" hidden="false" customHeight="false" outlineLevel="0" collapsed="false">
      <c r="A55" s="4" t="s">
        <v>380</v>
      </c>
      <c r="B55" s="4" t="s">
        <v>381</v>
      </c>
    </row>
    <row r="56" customFormat="false" ht="124.6" hidden="false" customHeight="false" outlineLevel="0" collapsed="false">
      <c r="A56" s="4" t="s">
        <v>382</v>
      </c>
      <c r="B56" s="4" t="s">
        <v>383</v>
      </c>
    </row>
    <row r="57" customFormat="false" ht="68.65" hidden="false" customHeight="false" outlineLevel="0" collapsed="false">
      <c r="A57" s="4" t="s">
        <v>384</v>
      </c>
      <c r="B57" s="4" t="s">
        <v>385</v>
      </c>
    </row>
    <row r="58" customFormat="false" ht="158.2" hidden="false" customHeight="false" outlineLevel="0" collapsed="false">
      <c r="A58" s="4" t="s">
        <v>386</v>
      </c>
      <c r="B58" s="4" t="s">
        <v>387</v>
      </c>
    </row>
    <row r="59" customFormat="false" ht="91" hidden="false" customHeight="false" outlineLevel="0" collapsed="false">
      <c r="A59" s="4" t="s">
        <v>388</v>
      </c>
      <c r="B59" s="4" t="s">
        <v>389</v>
      </c>
    </row>
    <row r="60" customFormat="false" ht="91" hidden="false" customHeight="false" outlineLevel="0" collapsed="false">
      <c r="A60" s="4" t="s">
        <v>390</v>
      </c>
      <c r="B60" s="4" t="s">
        <v>391</v>
      </c>
    </row>
    <row r="61" customFormat="false" ht="147" hidden="false" customHeight="false" outlineLevel="0" collapsed="false">
      <c r="A61" s="4" t="s">
        <v>392</v>
      </c>
      <c r="B61" s="4" t="s">
        <v>393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7A"/>
    <pageSetUpPr fitToPage="false"/>
  </sheetPr>
  <dimension ref="A1:AB1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0"/>
    <col collapsed="false" customWidth="true" hidden="false" outlineLevel="0" max="3" min="3" style="0" width="32"/>
    <col collapsed="false" customWidth="true" hidden="false" outlineLevel="0" max="4" min="4" style="0" width="55"/>
    <col collapsed="false" customWidth="true" hidden="false" outlineLevel="0" max="5" min="5" style="0" width="11"/>
    <col collapsed="false" customWidth="true" hidden="false" outlineLevel="0" max="6" min="6" style="0" width="9"/>
    <col collapsed="false" customWidth="true" hidden="false" outlineLevel="0" max="7" min="7" style="0" width="7"/>
    <col collapsed="false" customWidth="true" hidden="false" outlineLevel="0" max="9" min="8" style="0" width="9"/>
    <col collapsed="false" customWidth="true" hidden="false" outlineLevel="0" max="10" min="10" style="0" width="13"/>
    <col collapsed="false" customWidth="true" hidden="false" outlineLevel="0" max="11" min="11" style="0" width="14"/>
    <col collapsed="false" customWidth="true" hidden="false" outlineLevel="0" max="12" min="12" style="0" width="26"/>
    <col collapsed="false" customWidth="true" hidden="false" outlineLevel="0" max="13" min="13" style="0" width="14"/>
    <col collapsed="false" customWidth="true" hidden="false" outlineLevel="0" max="28" min="14" style="0" width="5.51"/>
  </cols>
  <sheetData>
    <row r="1" customFormat="false" ht="17.35" hidden="false" customHeight="false" outlineLevel="0" collapsed="false">
      <c r="A1" s="1" t="s">
        <v>10</v>
      </c>
    </row>
    <row r="2" customFormat="false" ht="15" hidden="false" customHeight="false" outlineLevel="0" collapsed="false">
      <c r="A2" s="2" t="s">
        <v>394</v>
      </c>
    </row>
    <row r="3" customFormat="false" ht="15" hidden="false" customHeight="false" outlineLevel="0" collapsed="false">
      <c r="A3" s="12" t="s">
        <v>395</v>
      </c>
      <c r="C3" s="13" t="n">
        <v>90</v>
      </c>
      <c r="D3" s="12" t="s">
        <v>396</v>
      </c>
      <c r="E3" s="14" t="n">
        <v>90</v>
      </c>
      <c r="F3" s="12" t="s">
        <v>397</v>
      </c>
      <c r="G3" s="14" t="n">
        <v>10</v>
      </c>
    </row>
    <row r="4" customFormat="false" ht="15" hidden="false" customHeight="false" outlineLevel="0" collapsed="false">
      <c r="N4" s="9" t="n">
        <v>-60</v>
      </c>
      <c r="O4" s="9" t="n">
        <v>0</v>
      </c>
      <c r="P4" s="9" t="n">
        <v>7</v>
      </c>
      <c r="Q4" s="9" t="n">
        <v>14</v>
      </c>
      <c r="R4" s="9" t="n">
        <v>21</v>
      </c>
      <c r="S4" s="9" t="n">
        <v>28</v>
      </c>
      <c r="T4" s="9" t="n">
        <v>35</v>
      </c>
      <c r="U4" s="9" t="n">
        <v>42</v>
      </c>
      <c r="V4" s="9" t="n">
        <v>49</v>
      </c>
      <c r="W4" s="9" t="n">
        <v>56</v>
      </c>
      <c r="X4" s="9" t="n">
        <v>63</v>
      </c>
      <c r="Y4" s="9" t="n">
        <v>70</v>
      </c>
      <c r="Z4" s="9" t="n">
        <v>77</v>
      </c>
      <c r="AA4" s="9" t="n">
        <v>84</v>
      </c>
      <c r="AB4" s="9" t="n">
        <v>91</v>
      </c>
    </row>
    <row r="5" customFormat="false" ht="15" hidden="false" customHeight="false" outlineLevel="0" collapsed="false">
      <c r="N5" s="9" t="n">
        <v>-1</v>
      </c>
      <c r="O5" s="9" t="n">
        <v>6</v>
      </c>
      <c r="P5" s="9" t="n">
        <v>13</v>
      </c>
      <c r="Q5" s="9" t="n">
        <v>20</v>
      </c>
      <c r="R5" s="9" t="n">
        <v>27</v>
      </c>
      <c r="S5" s="9" t="n">
        <v>34</v>
      </c>
      <c r="T5" s="9" t="n">
        <v>41</v>
      </c>
      <c r="U5" s="9" t="n">
        <v>48</v>
      </c>
      <c r="V5" s="9" t="n">
        <v>55</v>
      </c>
      <c r="W5" s="9" t="n">
        <v>62</v>
      </c>
      <c r="X5" s="9" t="n">
        <v>69</v>
      </c>
      <c r="Y5" s="9" t="n">
        <v>76</v>
      </c>
      <c r="Z5" s="9" t="n">
        <v>83</v>
      </c>
      <c r="AA5" s="9" t="n">
        <v>90</v>
      </c>
      <c r="AB5" s="9" t="n">
        <v>400</v>
      </c>
    </row>
    <row r="6" customFormat="false" ht="30" hidden="false" customHeight="true" outlineLevel="0" collapsed="false">
      <c r="A6" s="3" t="s">
        <v>398</v>
      </c>
      <c r="B6" s="3" t="s">
        <v>399</v>
      </c>
      <c r="C6" s="3" t="s">
        <v>400</v>
      </c>
      <c r="D6" s="3" t="s">
        <v>401</v>
      </c>
      <c r="E6" s="3" t="s">
        <v>402</v>
      </c>
      <c r="F6" s="3" t="s">
        <v>403</v>
      </c>
      <c r="G6" s="3" t="s">
        <v>126</v>
      </c>
      <c r="H6" s="3" t="s">
        <v>404</v>
      </c>
      <c r="I6" s="3" t="s">
        <v>405</v>
      </c>
      <c r="J6" s="3" t="s">
        <v>406</v>
      </c>
      <c r="K6" s="3" t="s">
        <v>407</v>
      </c>
      <c r="L6" s="3" t="s">
        <v>408</v>
      </c>
      <c r="M6" s="3" t="s">
        <v>409</v>
      </c>
      <c r="N6" s="3" t="s">
        <v>131</v>
      </c>
      <c r="O6" s="3" t="s">
        <v>132</v>
      </c>
      <c r="P6" s="3" t="s">
        <v>133</v>
      </c>
      <c r="Q6" s="3" t="s">
        <v>134</v>
      </c>
      <c r="R6" s="3" t="s">
        <v>135</v>
      </c>
      <c r="S6" s="3" t="s">
        <v>136</v>
      </c>
      <c r="T6" s="3" t="s">
        <v>137</v>
      </c>
      <c r="U6" s="3" t="s">
        <v>138</v>
      </c>
      <c r="V6" s="3" t="s">
        <v>139</v>
      </c>
      <c r="W6" s="3" t="s">
        <v>140</v>
      </c>
      <c r="X6" s="3" t="s">
        <v>141</v>
      </c>
      <c r="Y6" s="3" t="s">
        <v>142</v>
      </c>
      <c r="Z6" s="3" t="s">
        <v>143</v>
      </c>
      <c r="AA6" s="3" t="s">
        <v>144</v>
      </c>
      <c r="AB6" s="3" t="s">
        <v>145</v>
      </c>
    </row>
    <row r="7" customFormat="false" ht="23.85" hidden="false" customHeight="false" outlineLevel="0" collapsed="false">
      <c r="A7" s="4" t="s">
        <v>410</v>
      </c>
      <c r="B7" s="4" t="s">
        <v>411</v>
      </c>
      <c r="C7" s="4" t="s">
        <v>412</v>
      </c>
      <c r="D7" s="4" t="s">
        <v>413</v>
      </c>
      <c r="E7" s="4" t="s">
        <v>32</v>
      </c>
      <c r="F7" s="15" t="s">
        <v>414</v>
      </c>
      <c r="G7" s="10" t="n">
        <v>-30</v>
      </c>
      <c r="H7" s="10" t="n">
        <v>-28</v>
      </c>
      <c r="I7" s="16" t="n">
        <f aca="false">IF(OR(LEFT($B7,2)="P0",$H7&lt;=$G$3),$H7,IF(LEFT($B7,2)="P9",$H7-$E$3+$C$3,ROUND($H7*$C$3/$E$3,0)))</f>
        <v>-28</v>
      </c>
      <c r="J7" s="4"/>
      <c r="K7" s="4"/>
      <c r="L7" s="4" t="s">
        <v>415</v>
      </c>
      <c r="M7" s="4" t="s">
        <v>416</v>
      </c>
      <c r="N7" s="11" t="str">
        <f aca="false">IF(AND($G7&lt;=N$5,$H7&gt;=N$4),"■","")</f>
        <v>■</v>
      </c>
      <c r="O7" s="11" t="str">
        <f aca="false">IF(AND($G7&lt;=O$5,$H7&gt;=O$4),"■","")</f>
        <v/>
      </c>
      <c r="P7" s="11" t="str">
        <f aca="false">IF(AND($G7&lt;=P$5,$H7&gt;=P$4),"■","")</f>
        <v/>
      </c>
      <c r="Q7" s="11" t="str">
        <f aca="false">IF(AND($G7&lt;=Q$5,$H7&gt;=Q$4),"■","")</f>
        <v/>
      </c>
      <c r="R7" s="11" t="str">
        <f aca="false">IF(AND($G7&lt;=R$5,$H7&gt;=R$4),"■","")</f>
        <v/>
      </c>
      <c r="S7" s="11" t="str">
        <f aca="false">IF(AND($G7&lt;=S$5,$H7&gt;=S$4),"■","")</f>
        <v/>
      </c>
      <c r="T7" s="11" t="str">
        <f aca="false">IF(AND($G7&lt;=T$5,$H7&gt;=T$4),"■","")</f>
        <v/>
      </c>
      <c r="U7" s="11" t="str">
        <f aca="false">IF(AND($G7&lt;=U$5,$H7&gt;=U$4),"■","")</f>
        <v/>
      </c>
      <c r="V7" s="11" t="str">
        <f aca="false">IF(AND($G7&lt;=V$5,$H7&gt;=V$4),"■","")</f>
        <v/>
      </c>
      <c r="W7" s="11" t="str">
        <f aca="false">IF(AND($G7&lt;=W$5,$H7&gt;=W$4),"■","")</f>
        <v/>
      </c>
      <c r="X7" s="11" t="str">
        <f aca="false">IF(AND($G7&lt;=X$5,$H7&gt;=X$4),"■","")</f>
        <v/>
      </c>
      <c r="Y7" s="11" t="str">
        <f aca="false">IF(AND($G7&lt;=Y$5,$H7&gt;=Y$4),"■","")</f>
        <v/>
      </c>
      <c r="Z7" s="11" t="str">
        <f aca="false">IF(AND($G7&lt;=Z$5,$H7&gt;=Z$4),"■","")</f>
        <v/>
      </c>
      <c r="AA7" s="11" t="str">
        <f aca="false">IF(AND($G7&lt;=AA$5,$H7&gt;=AA$4),"■","")</f>
        <v/>
      </c>
      <c r="AB7" s="11" t="str">
        <f aca="false">IF(AND($G7&lt;=AB$5,$H7&gt;=AB$4),"■","")</f>
        <v/>
      </c>
    </row>
    <row r="8" customFormat="false" ht="23.85" hidden="false" customHeight="false" outlineLevel="0" collapsed="false">
      <c r="A8" s="4" t="s">
        <v>417</v>
      </c>
      <c r="B8" s="4" t="s">
        <v>411</v>
      </c>
      <c r="C8" s="4" t="s">
        <v>418</v>
      </c>
      <c r="D8" s="4" t="s">
        <v>419</v>
      </c>
      <c r="E8" s="4" t="s">
        <v>32</v>
      </c>
      <c r="F8" s="15" t="s">
        <v>414</v>
      </c>
      <c r="G8" s="10" t="n">
        <v>-25</v>
      </c>
      <c r="H8" s="10" t="n">
        <v>-21</v>
      </c>
      <c r="I8" s="16" t="n">
        <f aca="false">IF(OR(LEFT($B8,2)="P0",$H8&lt;=$G$3),$H8,IF(LEFT($B8,2)="P9",$H8-$E$3+$C$3,ROUND($H8*$C$3/$E$3,0)))</f>
        <v>-21</v>
      </c>
      <c r="J8" s="4"/>
      <c r="K8" s="4" t="s">
        <v>410</v>
      </c>
      <c r="L8" s="4" t="s">
        <v>420</v>
      </c>
      <c r="M8" s="4" t="s">
        <v>416</v>
      </c>
      <c r="N8" s="11" t="str">
        <f aca="false">IF(AND($G8&lt;=N$5,$H8&gt;=N$4),"■","")</f>
        <v>■</v>
      </c>
      <c r="O8" s="11" t="str">
        <f aca="false">IF(AND($G8&lt;=O$5,$H8&gt;=O$4),"■","")</f>
        <v/>
      </c>
      <c r="P8" s="11" t="str">
        <f aca="false">IF(AND($G8&lt;=P$5,$H8&gt;=P$4),"■","")</f>
        <v/>
      </c>
      <c r="Q8" s="11" t="str">
        <f aca="false">IF(AND($G8&lt;=Q$5,$H8&gt;=Q$4),"■","")</f>
        <v/>
      </c>
      <c r="R8" s="11" t="str">
        <f aca="false">IF(AND($G8&lt;=R$5,$H8&gt;=R$4),"■","")</f>
        <v/>
      </c>
      <c r="S8" s="11" t="str">
        <f aca="false">IF(AND($G8&lt;=S$5,$H8&gt;=S$4),"■","")</f>
        <v/>
      </c>
      <c r="T8" s="11" t="str">
        <f aca="false">IF(AND($G8&lt;=T$5,$H8&gt;=T$4),"■","")</f>
        <v/>
      </c>
      <c r="U8" s="11" t="str">
        <f aca="false">IF(AND($G8&lt;=U$5,$H8&gt;=U$4),"■","")</f>
        <v/>
      </c>
      <c r="V8" s="11" t="str">
        <f aca="false">IF(AND($G8&lt;=V$5,$H8&gt;=V$4),"■","")</f>
        <v/>
      </c>
      <c r="W8" s="11" t="str">
        <f aca="false">IF(AND($G8&lt;=W$5,$H8&gt;=W$4),"■","")</f>
        <v/>
      </c>
      <c r="X8" s="11" t="str">
        <f aca="false">IF(AND($G8&lt;=X$5,$H8&gt;=X$4),"■","")</f>
        <v/>
      </c>
      <c r="Y8" s="11" t="str">
        <f aca="false">IF(AND($G8&lt;=Y$5,$H8&gt;=Y$4),"■","")</f>
        <v/>
      </c>
      <c r="Z8" s="11" t="str">
        <f aca="false">IF(AND($G8&lt;=Z$5,$H8&gt;=Z$4),"■","")</f>
        <v/>
      </c>
      <c r="AA8" s="11" t="str">
        <f aca="false">IF(AND($G8&lt;=AA$5,$H8&gt;=AA$4),"■","")</f>
        <v/>
      </c>
      <c r="AB8" s="11" t="str">
        <f aca="false">IF(AND($G8&lt;=AB$5,$H8&gt;=AB$4),"■","")</f>
        <v/>
      </c>
    </row>
    <row r="9" customFormat="false" ht="23.85" hidden="false" customHeight="false" outlineLevel="0" collapsed="false">
      <c r="A9" s="4" t="s">
        <v>421</v>
      </c>
      <c r="B9" s="4" t="s">
        <v>411</v>
      </c>
      <c r="C9" s="4" t="s">
        <v>422</v>
      </c>
      <c r="D9" s="4" t="s">
        <v>423</v>
      </c>
      <c r="E9" s="4" t="s">
        <v>32</v>
      </c>
      <c r="F9" s="15" t="s">
        <v>414</v>
      </c>
      <c r="G9" s="10" t="n">
        <v>-25</v>
      </c>
      <c r="H9" s="10" t="n">
        <v>-21</v>
      </c>
      <c r="I9" s="16" t="n">
        <f aca="false">IF(OR(LEFT($B9,2)="P0",$H9&lt;=$G$3),$H9,IF(LEFT($B9,2)="P9",$H9-$E$3+$C$3,ROUND($H9*$C$3/$E$3,0)))</f>
        <v>-21</v>
      </c>
      <c r="J9" s="4"/>
      <c r="K9" s="4" t="s">
        <v>417</v>
      </c>
      <c r="L9" s="4" t="s">
        <v>424</v>
      </c>
      <c r="M9" s="4" t="s">
        <v>416</v>
      </c>
      <c r="N9" s="11" t="str">
        <f aca="false">IF(AND($G9&lt;=N$5,$H9&gt;=N$4),"■","")</f>
        <v>■</v>
      </c>
      <c r="O9" s="11" t="str">
        <f aca="false">IF(AND($G9&lt;=O$5,$H9&gt;=O$4),"■","")</f>
        <v/>
      </c>
      <c r="P9" s="11" t="str">
        <f aca="false">IF(AND($G9&lt;=P$5,$H9&gt;=P$4),"■","")</f>
        <v/>
      </c>
      <c r="Q9" s="11" t="str">
        <f aca="false">IF(AND($G9&lt;=Q$5,$H9&gt;=Q$4),"■","")</f>
        <v/>
      </c>
      <c r="R9" s="11" t="str">
        <f aca="false">IF(AND($G9&lt;=R$5,$H9&gt;=R$4),"■","")</f>
        <v/>
      </c>
      <c r="S9" s="11" t="str">
        <f aca="false">IF(AND($G9&lt;=S$5,$H9&gt;=S$4),"■","")</f>
        <v/>
      </c>
      <c r="T9" s="11" t="str">
        <f aca="false">IF(AND($G9&lt;=T$5,$H9&gt;=T$4),"■","")</f>
        <v/>
      </c>
      <c r="U9" s="11" t="str">
        <f aca="false">IF(AND($G9&lt;=U$5,$H9&gt;=U$4),"■","")</f>
        <v/>
      </c>
      <c r="V9" s="11" t="str">
        <f aca="false">IF(AND($G9&lt;=V$5,$H9&gt;=V$4),"■","")</f>
        <v/>
      </c>
      <c r="W9" s="11" t="str">
        <f aca="false">IF(AND($G9&lt;=W$5,$H9&gt;=W$4),"■","")</f>
        <v/>
      </c>
      <c r="X9" s="11" t="str">
        <f aca="false">IF(AND($G9&lt;=X$5,$H9&gt;=X$4),"■","")</f>
        <v/>
      </c>
      <c r="Y9" s="11" t="str">
        <f aca="false">IF(AND($G9&lt;=Y$5,$H9&gt;=Y$4),"■","")</f>
        <v/>
      </c>
      <c r="Z9" s="11" t="str">
        <f aca="false">IF(AND($G9&lt;=Z$5,$H9&gt;=Z$4),"■","")</f>
        <v/>
      </c>
      <c r="AA9" s="11" t="str">
        <f aca="false">IF(AND($G9&lt;=AA$5,$H9&gt;=AA$4),"■","")</f>
        <v/>
      </c>
      <c r="AB9" s="11" t="str">
        <f aca="false">IF(AND($G9&lt;=AB$5,$H9&gt;=AB$4),"■","")</f>
        <v/>
      </c>
    </row>
    <row r="10" customFormat="false" ht="23.85" hidden="false" customHeight="false" outlineLevel="0" collapsed="false">
      <c r="A10" s="4" t="s">
        <v>425</v>
      </c>
      <c r="B10" s="4" t="s">
        <v>411</v>
      </c>
      <c r="C10" s="4" t="s">
        <v>426</v>
      </c>
      <c r="D10" s="4" t="s">
        <v>427</v>
      </c>
      <c r="E10" s="4" t="s">
        <v>38</v>
      </c>
      <c r="F10" s="15" t="s">
        <v>428</v>
      </c>
      <c r="G10" s="10" t="n">
        <v>-21</v>
      </c>
      <c r="H10" s="10" t="n">
        <v>-14</v>
      </c>
      <c r="I10" s="16" t="n">
        <f aca="false">IF(OR(LEFT($B10,2)="P0",$H10&lt;=$G$3),$H10,IF(LEFT($B10,2)="P9",$H10-$E$3+$C$3,ROUND($H10*$C$3/$E$3,0)))</f>
        <v>-14</v>
      </c>
      <c r="J10" s="4"/>
      <c r="K10" s="4" t="s">
        <v>417</v>
      </c>
      <c r="L10" s="4" t="s">
        <v>429</v>
      </c>
      <c r="M10" s="4" t="s">
        <v>416</v>
      </c>
      <c r="N10" s="11" t="str">
        <f aca="false">IF(AND($G10&lt;=N$5,$H10&gt;=N$4),"■","")</f>
        <v>■</v>
      </c>
      <c r="O10" s="11" t="str">
        <f aca="false">IF(AND($G10&lt;=O$5,$H10&gt;=O$4),"■","")</f>
        <v/>
      </c>
      <c r="P10" s="11" t="str">
        <f aca="false">IF(AND($G10&lt;=P$5,$H10&gt;=P$4),"■","")</f>
        <v/>
      </c>
      <c r="Q10" s="11" t="str">
        <f aca="false">IF(AND($G10&lt;=Q$5,$H10&gt;=Q$4),"■","")</f>
        <v/>
      </c>
      <c r="R10" s="11" t="str">
        <f aca="false">IF(AND($G10&lt;=R$5,$H10&gt;=R$4),"■","")</f>
        <v/>
      </c>
      <c r="S10" s="11" t="str">
        <f aca="false">IF(AND($G10&lt;=S$5,$H10&gt;=S$4),"■","")</f>
        <v/>
      </c>
      <c r="T10" s="11" t="str">
        <f aca="false">IF(AND($G10&lt;=T$5,$H10&gt;=T$4),"■","")</f>
        <v/>
      </c>
      <c r="U10" s="11" t="str">
        <f aca="false">IF(AND($G10&lt;=U$5,$H10&gt;=U$4),"■","")</f>
        <v/>
      </c>
      <c r="V10" s="11" t="str">
        <f aca="false">IF(AND($G10&lt;=V$5,$H10&gt;=V$4),"■","")</f>
        <v/>
      </c>
      <c r="W10" s="11" t="str">
        <f aca="false">IF(AND($G10&lt;=W$5,$H10&gt;=W$4),"■","")</f>
        <v/>
      </c>
      <c r="X10" s="11" t="str">
        <f aca="false">IF(AND($G10&lt;=X$5,$H10&gt;=X$4),"■","")</f>
        <v/>
      </c>
      <c r="Y10" s="11" t="str">
        <f aca="false">IF(AND($G10&lt;=Y$5,$H10&gt;=Y$4),"■","")</f>
        <v/>
      </c>
      <c r="Z10" s="11" t="str">
        <f aca="false">IF(AND($G10&lt;=Z$5,$H10&gt;=Z$4),"■","")</f>
        <v/>
      </c>
      <c r="AA10" s="11" t="str">
        <f aca="false">IF(AND($G10&lt;=AA$5,$H10&gt;=AA$4),"■","")</f>
        <v/>
      </c>
      <c r="AB10" s="11" t="str">
        <f aca="false">IF(AND($G10&lt;=AB$5,$H10&gt;=AB$4),"■","")</f>
        <v/>
      </c>
    </row>
    <row r="11" customFormat="false" ht="23.85" hidden="false" customHeight="false" outlineLevel="0" collapsed="false">
      <c r="A11" s="4" t="s">
        <v>430</v>
      </c>
      <c r="B11" s="4" t="s">
        <v>411</v>
      </c>
      <c r="C11" s="4" t="s">
        <v>431</v>
      </c>
      <c r="D11" s="4" t="s">
        <v>432</v>
      </c>
      <c r="E11" s="4" t="s">
        <v>32</v>
      </c>
      <c r="F11" s="15" t="s">
        <v>414</v>
      </c>
      <c r="G11" s="10" t="n">
        <v>-14</v>
      </c>
      <c r="H11" s="10" t="n">
        <v>-10</v>
      </c>
      <c r="I11" s="16" t="n">
        <f aca="false">IF(OR(LEFT($B11,2)="P0",$H11&lt;=$G$3),$H11,IF(LEFT($B11,2)="P9",$H11-$E$3+$C$3,ROUND($H11*$C$3/$E$3,0)))</f>
        <v>-10</v>
      </c>
      <c r="J11" s="4"/>
      <c r="K11" s="4" t="s">
        <v>425</v>
      </c>
      <c r="L11" s="4" t="s">
        <v>433</v>
      </c>
      <c r="M11" s="4" t="s">
        <v>416</v>
      </c>
      <c r="N11" s="11" t="str">
        <f aca="false">IF(AND($G11&lt;=N$5,$H11&gt;=N$4),"■","")</f>
        <v>■</v>
      </c>
      <c r="O11" s="11" t="str">
        <f aca="false">IF(AND($G11&lt;=O$5,$H11&gt;=O$4),"■","")</f>
        <v/>
      </c>
      <c r="P11" s="11" t="str">
        <f aca="false">IF(AND($G11&lt;=P$5,$H11&gt;=P$4),"■","")</f>
        <v/>
      </c>
      <c r="Q11" s="11" t="str">
        <f aca="false">IF(AND($G11&lt;=Q$5,$H11&gt;=Q$4),"■","")</f>
        <v/>
      </c>
      <c r="R11" s="11" t="str">
        <f aca="false">IF(AND($G11&lt;=R$5,$H11&gt;=R$4),"■","")</f>
        <v/>
      </c>
      <c r="S11" s="11" t="str">
        <f aca="false">IF(AND($G11&lt;=S$5,$H11&gt;=S$4),"■","")</f>
        <v/>
      </c>
      <c r="T11" s="11" t="str">
        <f aca="false">IF(AND($G11&lt;=T$5,$H11&gt;=T$4),"■","")</f>
        <v/>
      </c>
      <c r="U11" s="11" t="str">
        <f aca="false">IF(AND($G11&lt;=U$5,$H11&gt;=U$4),"■","")</f>
        <v/>
      </c>
      <c r="V11" s="11" t="str">
        <f aca="false">IF(AND($G11&lt;=V$5,$H11&gt;=V$4),"■","")</f>
        <v/>
      </c>
      <c r="W11" s="11" t="str">
        <f aca="false">IF(AND($G11&lt;=W$5,$H11&gt;=W$4),"■","")</f>
        <v/>
      </c>
      <c r="X11" s="11" t="str">
        <f aca="false">IF(AND($G11&lt;=X$5,$H11&gt;=X$4),"■","")</f>
        <v/>
      </c>
      <c r="Y11" s="11" t="str">
        <f aca="false">IF(AND($G11&lt;=Y$5,$H11&gt;=Y$4),"■","")</f>
        <v/>
      </c>
      <c r="Z11" s="11" t="str">
        <f aca="false">IF(AND($G11&lt;=Z$5,$H11&gt;=Z$4),"■","")</f>
        <v/>
      </c>
      <c r="AA11" s="11" t="str">
        <f aca="false">IF(AND($G11&lt;=AA$5,$H11&gt;=AA$4),"■","")</f>
        <v/>
      </c>
      <c r="AB11" s="11" t="str">
        <f aca="false">IF(AND($G11&lt;=AB$5,$H11&gt;=AB$4),"■","")</f>
        <v/>
      </c>
    </row>
    <row r="12" customFormat="false" ht="23.85" hidden="false" customHeight="false" outlineLevel="0" collapsed="false">
      <c r="A12" s="4" t="s">
        <v>434</v>
      </c>
      <c r="B12" s="4" t="s">
        <v>411</v>
      </c>
      <c r="C12" s="4" t="s">
        <v>435</v>
      </c>
      <c r="D12" s="4" t="s">
        <v>436</v>
      </c>
      <c r="E12" s="4" t="s">
        <v>32</v>
      </c>
      <c r="F12" s="15" t="s">
        <v>414</v>
      </c>
      <c r="G12" s="10" t="n">
        <v>-14</v>
      </c>
      <c r="H12" s="10" t="n">
        <v>-7</v>
      </c>
      <c r="I12" s="16" t="n">
        <f aca="false">IF(OR(LEFT($B12,2)="P0",$H12&lt;=$G$3),$H12,IF(LEFT($B12,2)="P9",$H12-$E$3+$C$3,ROUND($H12*$C$3/$E$3,0)))</f>
        <v>-7</v>
      </c>
      <c r="J12" s="4"/>
      <c r="K12" s="4" t="s">
        <v>430</v>
      </c>
      <c r="L12" s="4" t="s">
        <v>415</v>
      </c>
      <c r="M12" s="4" t="s">
        <v>416</v>
      </c>
      <c r="N12" s="11" t="str">
        <f aca="false">IF(AND($G12&lt;=N$5,$H12&gt;=N$4),"■","")</f>
        <v>■</v>
      </c>
      <c r="O12" s="11" t="str">
        <f aca="false">IF(AND($G12&lt;=O$5,$H12&gt;=O$4),"■","")</f>
        <v/>
      </c>
      <c r="P12" s="11" t="str">
        <f aca="false">IF(AND($G12&lt;=P$5,$H12&gt;=P$4),"■","")</f>
        <v/>
      </c>
      <c r="Q12" s="11" t="str">
        <f aca="false">IF(AND($G12&lt;=Q$5,$H12&gt;=Q$4),"■","")</f>
        <v/>
      </c>
      <c r="R12" s="11" t="str">
        <f aca="false">IF(AND($G12&lt;=R$5,$H12&gt;=R$4),"■","")</f>
        <v/>
      </c>
      <c r="S12" s="11" t="str">
        <f aca="false">IF(AND($G12&lt;=S$5,$H12&gt;=S$4),"■","")</f>
        <v/>
      </c>
      <c r="T12" s="11" t="str">
        <f aca="false">IF(AND($G12&lt;=T$5,$H12&gt;=T$4),"■","")</f>
        <v/>
      </c>
      <c r="U12" s="11" t="str">
        <f aca="false">IF(AND($G12&lt;=U$5,$H12&gt;=U$4),"■","")</f>
        <v/>
      </c>
      <c r="V12" s="11" t="str">
        <f aca="false">IF(AND($G12&lt;=V$5,$H12&gt;=V$4),"■","")</f>
        <v/>
      </c>
      <c r="W12" s="11" t="str">
        <f aca="false">IF(AND($G12&lt;=W$5,$H12&gt;=W$4),"■","")</f>
        <v/>
      </c>
      <c r="X12" s="11" t="str">
        <f aca="false">IF(AND($G12&lt;=X$5,$H12&gt;=X$4),"■","")</f>
        <v/>
      </c>
      <c r="Y12" s="11" t="str">
        <f aca="false">IF(AND($G12&lt;=Y$5,$H12&gt;=Y$4),"■","")</f>
        <v/>
      </c>
      <c r="Z12" s="11" t="str">
        <f aca="false">IF(AND($G12&lt;=Z$5,$H12&gt;=Z$4),"■","")</f>
        <v/>
      </c>
      <c r="AA12" s="11" t="str">
        <f aca="false">IF(AND($G12&lt;=AA$5,$H12&gt;=AA$4),"■","")</f>
        <v/>
      </c>
      <c r="AB12" s="11" t="str">
        <f aca="false">IF(AND($G12&lt;=AB$5,$H12&gt;=AB$4),"■","")</f>
        <v/>
      </c>
    </row>
    <row r="13" customFormat="false" ht="23.85" hidden="false" customHeight="false" outlineLevel="0" collapsed="false">
      <c r="A13" s="4" t="s">
        <v>437</v>
      </c>
      <c r="B13" s="4" t="s">
        <v>411</v>
      </c>
      <c r="C13" s="4" t="s">
        <v>438</v>
      </c>
      <c r="D13" s="4" t="s">
        <v>439</v>
      </c>
      <c r="E13" s="4" t="s">
        <v>32</v>
      </c>
      <c r="F13" s="15" t="s">
        <v>428</v>
      </c>
      <c r="G13" s="10" t="n">
        <v>-10</v>
      </c>
      <c r="H13" s="10" t="n">
        <v>-3</v>
      </c>
      <c r="I13" s="16" t="n">
        <f aca="false">IF(OR(LEFT($B13,2)="P0",$H13&lt;=$G$3),$H13,IF(LEFT($B13,2)="P9",$H13-$E$3+$C$3,ROUND($H13*$C$3/$E$3,0)))</f>
        <v>-3</v>
      </c>
      <c r="J13" s="4"/>
      <c r="K13" s="4" t="s">
        <v>430</v>
      </c>
      <c r="L13" s="4" t="s">
        <v>440</v>
      </c>
      <c r="M13" s="4" t="s">
        <v>416</v>
      </c>
      <c r="N13" s="11" t="str">
        <f aca="false">IF(AND($G13&lt;=N$5,$H13&gt;=N$4),"■","")</f>
        <v>■</v>
      </c>
      <c r="O13" s="11" t="str">
        <f aca="false">IF(AND($G13&lt;=O$5,$H13&gt;=O$4),"■","")</f>
        <v/>
      </c>
      <c r="P13" s="11" t="str">
        <f aca="false">IF(AND($G13&lt;=P$5,$H13&gt;=P$4),"■","")</f>
        <v/>
      </c>
      <c r="Q13" s="11" t="str">
        <f aca="false">IF(AND($G13&lt;=Q$5,$H13&gt;=Q$4),"■","")</f>
        <v/>
      </c>
      <c r="R13" s="11" t="str">
        <f aca="false">IF(AND($G13&lt;=R$5,$H13&gt;=R$4),"■","")</f>
        <v/>
      </c>
      <c r="S13" s="11" t="str">
        <f aca="false">IF(AND($G13&lt;=S$5,$H13&gt;=S$4),"■","")</f>
        <v/>
      </c>
      <c r="T13" s="11" t="str">
        <f aca="false">IF(AND($G13&lt;=T$5,$H13&gt;=T$4),"■","")</f>
        <v/>
      </c>
      <c r="U13" s="11" t="str">
        <f aca="false">IF(AND($G13&lt;=U$5,$H13&gt;=U$4),"■","")</f>
        <v/>
      </c>
      <c r="V13" s="11" t="str">
        <f aca="false">IF(AND($G13&lt;=V$5,$H13&gt;=V$4),"■","")</f>
        <v/>
      </c>
      <c r="W13" s="11" t="str">
        <f aca="false">IF(AND($G13&lt;=W$5,$H13&gt;=W$4),"■","")</f>
        <v/>
      </c>
      <c r="X13" s="11" t="str">
        <f aca="false">IF(AND($G13&lt;=X$5,$H13&gt;=X$4),"■","")</f>
        <v/>
      </c>
      <c r="Y13" s="11" t="str">
        <f aca="false">IF(AND($G13&lt;=Y$5,$H13&gt;=Y$4),"■","")</f>
        <v/>
      </c>
      <c r="Z13" s="11" t="str">
        <f aca="false">IF(AND($G13&lt;=Z$5,$H13&gt;=Z$4),"■","")</f>
        <v/>
      </c>
      <c r="AA13" s="11" t="str">
        <f aca="false">IF(AND($G13&lt;=AA$5,$H13&gt;=AA$4),"■","")</f>
        <v/>
      </c>
      <c r="AB13" s="11" t="str">
        <f aca="false">IF(AND($G13&lt;=AB$5,$H13&gt;=AB$4),"■","")</f>
        <v/>
      </c>
    </row>
    <row r="14" customFormat="false" ht="46.25" hidden="false" customHeight="false" outlineLevel="0" collapsed="false">
      <c r="A14" s="4" t="s">
        <v>441</v>
      </c>
      <c r="B14" s="4" t="s">
        <v>411</v>
      </c>
      <c r="C14" s="4" t="s">
        <v>442</v>
      </c>
      <c r="D14" s="4" t="s">
        <v>443</v>
      </c>
      <c r="E14" s="4" t="s">
        <v>38</v>
      </c>
      <c r="F14" s="15" t="s">
        <v>428</v>
      </c>
      <c r="G14" s="10" t="n">
        <v>-5</v>
      </c>
      <c r="H14" s="10" t="n">
        <v>0</v>
      </c>
      <c r="I14" s="16" t="n">
        <f aca="false">IF(OR(LEFT($B14,2)="P0",$H14&lt;=$G$3),$H14,IF(LEFT($B14,2)="P9",$H14-$E$3+$C$3,ROUND($H14*$C$3/$E$3,0)))</f>
        <v>0</v>
      </c>
      <c r="J14" s="4"/>
      <c r="K14" s="4" t="s">
        <v>437</v>
      </c>
      <c r="L14" s="4" t="s">
        <v>444</v>
      </c>
      <c r="M14" s="4" t="s">
        <v>416</v>
      </c>
      <c r="N14" s="11" t="str">
        <f aca="false">IF(AND($G14&lt;=N$5,$H14&gt;=N$4),"■","")</f>
        <v>■</v>
      </c>
      <c r="O14" s="11" t="str">
        <f aca="false">IF(AND($G14&lt;=O$5,$H14&gt;=O$4),"■","")</f>
        <v>■</v>
      </c>
      <c r="P14" s="11" t="str">
        <f aca="false">IF(AND($G14&lt;=P$5,$H14&gt;=P$4),"■","")</f>
        <v/>
      </c>
      <c r="Q14" s="11" t="str">
        <f aca="false">IF(AND($G14&lt;=Q$5,$H14&gt;=Q$4),"■","")</f>
        <v/>
      </c>
      <c r="R14" s="11" t="str">
        <f aca="false">IF(AND($G14&lt;=R$5,$H14&gt;=R$4),"■","")</f>
        <v/>
      </c>
      <c r="S14" s="11" t="str">
        <f aca="false">IF(AND($G14&lt;=S$5,$H14&gt;=S$4),"■","")</f>
        <v/>
      </c>
      <c r="T14" s="11" t="str">
        <f aca="false">IF(AND($G14&lt;=T$5,$H14&gt;=T$4),"■","")</f>
        <v/>
      </c>
      <c r="U14" s="11" t="str">
        <f aca="false">IF(AND($G14&lt;=U$5,$H14&gt;=U$4),"■","")</f>
        <v/>
      </c>
      <c r="V14" s="11" t="str">
        <f aca="false">IF(AND($G14&lt;=V$5,$H14&gt;=V$4),"■","")</f>
        <v/>
      </c>
      <c r="W14" s="11" t="str">
        <f aca="false">IF(AND($G14&lt;=W$5,$H14&gt;=W$4),"■","")</f>
        <v/>
      </c>
      <c r="X14" s="11" t="str">
        <f aca="false">IF(AND($G14&lt;=X$5,$H14&gt;=X$4),"■","")</f>
        <v/>
      </c>
      <c r="Y14" s="11" t="str">
        <f aca="false">IF(AND($G14&lt;=Y$5,$H14&gt;=Y$4),"■","")</f>
        <v/>
      </c>
      <c r="Z14" s="11" t="str">
        <f aca="false">IF(AND($G14&lt;=Z$5,$H14&gt;=Z$4),"■","")</f>
        <v/>
      </c>
      <c r="AA14" s="11" t="str">
        <f aca="false">IF(AND($G14&lt;=AA$5,$H14&gt;=AA$4),"■","")</f>
        <v/>
      </c>
      <c r="AB14" s="11" t="str">
        <f aca="false">IF(AND($G14&lt;=AB$5,$H14&gt;=AB$4),"■","")</f>
        <v/>
      </c>
    </row>
    <row r="15" customFormat="false" ht="23.85" hidden="false" customHeight="false" outlineLevel="0" collapsed="false">
      <c r="A15" s="4" t="s">
        <v>445</v>
      </c>
      <c r="B15" s="4" t="s">
        <v>446</v>
      </c>
      <c r="C15" s="4" t="s">
        <v>447</v>
      </c>
      <c r="D15" s="4" t="s">
        <v>448</v>
      </c>
      <c r="E15" s="4" t="s">
        <v>32</v>
      </c>
      <c r="F15" s="15" t="s">
        <v>414</v>
      </c>
      <c r="G15" s="10" t="n">
        <v>0</v>
      </c>
      <c r="H15" s="10" t="n">
        <v>1</v>
      </c>
      <c r="I15" s="16" t="n">
        <f aca="false">IF(OR(LEFT($B15,2)="P0",$H15&lt;=$G$3),$H15,IF(LEFT($B15,2)="P9",$H15-$E$3+$C$3,ROUND($H15*$C$3/$E$3,0)))</f>
        <v>1</v>
      </c>
      <c r="J15" s="4"/>
      <c r="K15" s="4" t="s">
        <v>441</v>
      </c>
      <c r="L15" s="4" t="s">
        <v>449</v>
      </c>
      <c r="M15" s="4" t="s">
        <v>416</v>
      </c>
      <c r="N15" s="11" t="str">
        <f aca="false">IF(AND($G15&lt;=N$5,$H15&gt;=N$4),"■","")</f>
        <v/>
      </c>
      <c r="O15" s="11" t="str">
        <f aca="false">IF(AND($G15&lt;=O$5,$H15&gt;=O$4),"■","")</f>
        <v>■</v>
      </c>
      <c r="P15" s="11" t="str">
        <f aca="false">IF(AND($G15&lt;=P$5,$H15&gt;=P$4),"■","")</f>
        <v/>
      </c>
      <c r="Q15" s="11" t="str">
        <f aca="false">IF(AND($G15&lt;=Q$5,$H15&gt;=Q$4),"■","")</f>
        <v/>
      </c>
      <c r="R15" s="11" t="str">
        <f aca="false">IF(AND($G15&lt;=R$5,$H15&gt;=R$4),"■","")</f>
        <v/>
      </c>
      <c r="S15" s="11" t="str">
        <f aca="false">IF(AND($G15&lt;=S$5,$H15&gt;=S$4),"■","")</f>
        <v/>
      </c>
      <c r="T15" s="11" t="str">
        <f aca="false">IF(AND($G15&lt;=T$5,$H15&gt;=T$4),"■","")</f>
        <v/>
      </c>
      <c r="U15" s="11" t="str">
        <f aca="false">IF(AND($G15&lt;=U$5,$H15&gt;=U$4),"■","")</f>
        <v/>
      </c>
      <c r="V15" s="11" t="str">
        <f aca="false">IF(AND($G15&lt;=V$5,$H15&gt;=V$4),"■","")</f>
        <v/>
      </c>
      <c r="W15" s="11" t="str">
        <f aca="false">IF(AND($G15&lt;=W$5,$H15&gt;=W$4),"■","")</f>
        <v/>
      </c>
      <c r="X15" s="11" t="str">
        <f aca="false">IF(AND($G15&lt;=X$5,$H15&gt;=X$4),"■","")</f>
        <v/>
      </c>
      <c r="Y15" s="11" t="str">
        <f aca="false">IF(AND($G15&lt;=Y$5,$H15&gt;=Y$4),"■","")</f>
        <v/>
      </c>
      <c r="Z15" s="11" t="str">
        <f aca="false">IF(AND($G15&lt;=Z$5,$H15&gt;=Z$4),"■","")</f>
        <v/>
      </c>
      <c r="AA15" s="11" t="str">
        <f aca="false">IF(AND($G15&lt;=AA$5,$H15&gt;=AA$4),"■","")</f>
        <v/>
      </c>
      <c r="AB15" s="11" t="str">
        <f aca="false">IF(AND($G15&lt;=AB$5,$H15&gt;=AB$4),"■","")</f>
        <v/>
      </c>
    </row>
    <row r="16" customFormat="false" ht="46.25" hidden="false" customHeight="false" outlineLevel="0" collapsed="false">
      <c r="A16" s="4" t="s">
        <v>450</v>
      </c>
      <c r="B16" s="4" t="s">
        <v>446</v>
      </c>
      <c r="C16" s="4" t="s">
        <v>451</v>
      </c>
      <c r="D16" s="4" t="s">
        <v>452</v>
      </c>
      <c r="E16" s="4" t="s">
        <v>36</v>
      </c>
      <c r="F16" s="15" t="s">
        <v>414</v>
      </c>
      <c r="G16" s="10" t="n">
        <v>0</v>
      </c>
      <c r="H16" s="10" t="n">
        <v>1</v>
      </c>
      <c r="I16" s="16" t="n">
        <f aca="false">IF(OR(LEFT($B16,2)="P0",$H16&lt;=$G$3),$H16,IF(LEFT($B16,2)="P9",$H16-$E$3+$C$3,ROUND($H16*$C$3/$E$3,0)))</f>
        <v>1</v>
      </c>
      <c r="J16" s="4"/>
      <c r="K16" s="4" t="s">
        <v>445</v>
      </c>
      <c r="L16" s="4" t="s">
        <v>453</v>
      </c>
      <c r="M16" s="4" t="s">
        <v>416</v>
      </c>
      <c r="N16" s="11" t="str">
        <f aca="false">IF(AND($G16&lt;=N$5,$H16&gt;=N$4),"■","")</f>
        <v/>
      </c>
      <c r="O16" s="11" t="str">
        <f aca="false">IF(AND($G16&lt;=O$5,$H16&gt;=O$4),"■","")</f>
        <v>■</v>
      </c>
      <c r="P16" s="11" t="str">
        <f aca="false">IF(AND($G16&lt;=P$5,$H16&gt;=P$4),"■","")</f>
        <v/>
      </c>
      <c r="Q16" s="11" t="str">
        <f aca="false">IF(AND($G16&lt;=Q$5,$H16&gt;=Q$4),"■","")</f>
        <v/>
      </c>
      <c r="R16" s="11" t="str">
        <f aca="false">IF(AND($G16&lt;=R$5,$H16&gt;=R$4),"■","")</f>
        <v/>
      </c>
      <c r="S16" s="11" t="str">
        <f aca="false">IF(AND($G16&lt;=S$5,$H16&gt;=S$4),"■","")</f>
        <v/>
      </c>
      <c r="T16" s="11" t="str">
        <f aca="false">IF(AND($G16&lt;=T$5,$H16&gt;=T$4),"■","")</f>
        <v/>
      </c>
      <c r="U16" s="11" t="str">
        <f aca="false">IF(AND($G16&lt;=U$5,$H16&gt;=U$4),"■","")</f>
        <v/>
      </c>
      <c r="V16" s="11" t="str">
        <f aca="false">IF(AND($G16&lt;=V$5,$H16&gt;=V$4),"■","")</f>
        <v/>
      </c>
      <c r="W16" s="11" t="str">
        <f aca="false">IF(AND($G16&lt;=W$5,$H16&gt;=W$4),"■","")</f>
        <v/>
      </c>
      <c r="X16" s="11" t="str">
        <f aca="false">IF(AND($G16&lt;=X$5,$H16&gt;=X$4),"■","")</f>
        <v/>
      </c>
      <c r="Y16" s="11" t="str">
        <f aca="false">IF(AND($G16&lt;=Y$5,$H16&gt;=Y$4),"■","")</f>
        <v/>
      </c>
      <c r="Z16" s="11" t="str">
        <f aca="false">IF(AND($G16&lt;=Z$5,$H16&gt;=Z$4),"■","")</f>
        <v/>
      </c>
      <c r="AA16" s="11" t="str">
        <f aca="false">IF(AND($G16&lt;=AA$5,$H16&gt;=AA$4),"■","")</f>
        <v/>
      </c>
      <c r="AB16" s="11" t="str">
        <f aca="false">IF(AND($G16&lt;=AB$5,$H16&gt;=AB$4),"■","")</f>
        <v/>
      </c>
    </row>
    <row r="17" customFormat="false" ht="23.85" hidden="false" customHeight="false" outlineLevel="0" collapsed="false">
      <c r="A17" s="4" t="s">
        <v>454</v>
      </c>
      <c r="B17" s="4" t="s">
        <v>446</v>
      </c>
      <c r="C17" s="4" t="s">
        <v>455</v>
      </c>
      <c r="D17" s="4" t="s">
        <v>456</v>
      </c>
      <c r="E17" s="4" t="s">
        <v>36</v>
      </c>
      <c r="F17" s="15" t="s">
        <v>428</v>
      </c>
      <c r="G17" s="10" t="n">
        <v>0</v>
      </c>
      <c r="H17" s="10" t="n">
        <v>0</v>
      </c>
      <c r="I17" s="16" t="n">
        <f aca="false">IF(OR(LEFT($B17,2)="P0",$H17&lt;=$G$3),$H17,IF(LEFT($B17,2)="P9",$H17-$E$3+$C$3,ROUND($H17*$C$3/$E$3,0)))</f>
        <v>0</v>
      </c>
      <c r="J17" s="4"/>
      <c r="K17" s="4" t="s">
        <v>441</v>
      </c>
      <c r="L17" s="4" t="s">
        <v>457</v>
      </c>
      <c r="M17" s="4" t="s">
        <v>416</v>
      </c>
      <c r="N17" s="11" t="str">
        <f aca="false">IF(AND($G17&lt;=N$5,$H17&gt;=N$4),"■","")</f>
        <v/>
      </c>
      <c r="O17" s="11" t="str">
        <f aca="false">IF(AND($G17&lt;=O$5,$H17&gt;=O$4),"■","")</f>
        <v>■</v>
      </c>
      <c r="P17" s="11" t="str">
        <f aca="false">IF(AND($G17&lt;=P$5,$H17&gt;=P$4),"■","")</f>
        <v/>
      </c>
      <c r="Q17" s="11" t="str">
        <f aca="false">IF(AND($G17&lt;=Q$5,$H17&gt;=Q$4),"■","")</f>
        <v/>
      </c>
      <c r="R17" s="11" t="str">
        <f aca="false">IF(AND($G17&lt;=R$5,$H17&gt;=R$4),"■","")</f>
        <v/>
      </c>
      <c r="S17" s="11" t="str">
        <f aca="false">IF(AND($G17&lt;=S$5,$H17&gt;=S$4),"■","")</f>
        <v/>
      </c>
      <c r="T17" s="11" t="str">
        <f aca="false">IF(AND($G17&lt;=T$5,$H17&gt;=T$4),"■","")</f>
        <v/>
      </c>
      <c r="U17" s="11" t="str">
        <f aca="false">IF(AND($G17&lt;=U$5,$H17&gt;=U$4),"■","")</f>
        <v/>
      </c>
      <c r="V17" s="11" t="str">
        <f aca="false">IF(AND($G17&lt;=V$5,$H17&gt;=V$4),"■","")</f>
        <v/>
      </c>
      <c r="W17" s="11" t="str">
        <f aca="false">IF(AND($G17&lt;=W$5,$H17&gt;=W$4),"■","")</f>
        <v/>
      </c>
      <c r="X17" s="11" t="str">
        <f aca="false">IF(AND($G17&lt;=X$5,$H17&gt;=X$4),"■","")</f>
        <v/>
      </c>
      <c r="Y17" s="11" t="str">
        <f aca="false">IF(AND($G17&lt;=Y$5,$H17&gt;=Y$4),"■","")</f>
        <v/>
      </c>
      <c r="Z17" s="11" t="str">
        <f aca="false">IF(AND($G17&lt;=Z$5,$H17&gt;=Z$4),"■","")</f>
        <v/>
      </c>
      <c r="AA17" s="11" t="str">
        <f aca="false">IF(AND($G17&lt;=AA$5,$H17&gt;=AA$4),"■","")</f>
        <v/>
      </c>
      <c r="AB17" s="11" t="str">
        <f aca="false">IF(AND($G17&lt;=AB$5,$H17&gt;=AB$4),"■","")</f>
        <v/>
      </c>
    </row>
    <row r="18" customFormat="false" ht="23.85" hidden="false" customHeight="false" outlineLevel="0" collapsed="false">
      <c r="A18" s="4" t="s">
        <v>458</v>
      </c>
      <c r="B18" s="4" t="s">
        <v>446</v>
      </c>
      <c r="C18" s="4" t="s">
        <v>459</v>
      </c>
      <c r="D18" s="4" t="s">
        <v>460</v>
      </c>
      <c r="E18" s="4" t="s">
        <v>36</v>
      </c>
      <c r="F18" s="15" t="s">
        <v>428</v>
      </c>
      <c r="G18" s="10" t="n">
        <v>0</v>
      </c>
      <c r="H18" s="10" t="n">
        <v>1</v>
      </c>
      <c r="I18" s="16" t="n">
        <f aca="false">IF(OR(LEFT($B18,2)="P0",$H18&lt;=$G$3),$H18,IF(LEFT($B18,2)="P9",$H18-$E$3+$C$3,ROUND($H18*$C$3/$E$3,0)))</f>
        <v>1</v>
      </c>
      <c r="J18" s="4"/>
      <c r="K18" s="4" t="s">
        <v>450</v>
      </c>
      <c r="L18" s="4" t="s">
        <v>461</v>
      </c>
      <c r="M18" s="4" t="s">
        <v>416</v>
      </c>
      <c r="N18" s="11" t="str">
        <f aca="false">IF(AND($G18&lt;=N$5,$H18&gt;=N$4),"■","")</f>
        <v/>
      </c>
      <c r="O18" s="11" t="str">
        <f aca="false">IF(AND($G18&lt;=O$5,$H18&gt;=O$4),"■","")</f>
        <v>■</v>
      </c>
      <c r="P18" s="11" t="str">
        <f aca="false">IF(AND($G18&lt;=P$5,$H18&gt;=P$4),"■","")</f>
        <v/>
      </c>
      <c r="Q18" s="11" t="str">
        <f aca="false">IF(AND($G18&lt;=Q$5,$H18&gt;=Q$4),"■","")</f>
        <v/>
      </c>
      <c r="R18" s="11" t="str">
        <f aca="false">IF(AND($G18&lt;=R$5,$H18&gt;=R$4),"■","")</f>
        <v/>
      </c>
      <c r="S18" s="11" t="str">
        <f aca="false">IF(AND($G18&lt;=S$5,$H18&gt;=S$4),"■","")</f>
        <v/>
      </c>
      <c r="T18" s="11" t="str">
        <f aca="false">IF(AND($G18&lt;=T$5,$H18&gt;=T$4),"■","")</f>
        <v/>
      </c>
      <c r="U18" s="11" t="str">
        <f aca="false">IF(AND($G18&lt;=U$5,$H18&gt;=U$4),"■","")</f>
        <v/>
      </c>
      <c r="V18" s="11" t="str">
        <f aca="false">IF(AND($G18&lt;=V$5,$H18&gt;=V$4),"■","")</f>
        <v/>
      </c>
      <c r="W18" s="11" t="str">
        <f aca="false">IF(AND($G18&lt;=W$5,$H18&gt;=W$4),"■","")</f>
        <v/>
      </c>
      <c r="X18" s="11" t="str">
        <f aca="false">IF(AND($G18&lt;=X$5,$H18&gt;=X$4),"■","")</f>
        <v/>
      </c>
      <c r="Y18" s="11" t="str">
        <f aca="false">IF(AND($G18&lt;=Y$5,$H18&gt;=Y$4),"■","")</f>
        <v/>
      </c>
      <c r="Z18" s="11" t="str">
        <f aca="false">IF(AND($G18&lt;=Z$5,$H18&gt;=Z$4),"■","")</f>
        <v/>
      </c>
      <c r="AA18" s="11" t="str">
        <f aca="false">IF(AND($G18&lt;=AA$5,$H18&gt;=AA$4),"■","")</f>
        <v/>
      </c>
      <c r="AB18" s="11" t="str">
        <f aca="false">IF(AND($G18&lt;=AB$5,$H18&gt;=AB$4),"■","")</f>
        <v/>
      </c>
    </row>
    <row r="19" customFormat="false" ht="46.25" hidden="false" customHeight="false" outlineLevel="0" collapsed="false">
      <c r="A19" s="4" t="s">
        <v>462</v>
      </c>
      <c r="B19" s="4" t="s">
        <v>446</v>
      </c>
      <c r="C19" s="4" t="s">
        <v>463</v>
      </c>
      <c r="D19" s="4" t="s">
        <v>464</v>
      </c>
      <c r="E19" s="4" t="s">
        <v>32</v>
      </c>
      <c r="F19" s="15" t="s">
        <v>414</v>
      </c>
      <c r="G19" s="10" t="n">
        <v>1</v>
      </c>
      <c r="H19" s="10" t="n">
        <v>3</v>
      </c>
      <c r="I19" s="16" t="n">
        <f aca="false">IF(OR(LEFT($B19,2)="P0",$H19&lt;=$G$3),$H19,IF(LEFT($B19,2)="P9",$H19-$E$3+$C$3,ROUND($H19*$C$3/$E$3,0)))</f>
        <v>3</v>
      </c>
      <c r="J19" s="4"/>
      <c r="K19" s="4" t="s">
        <v>445</v>
      </c>
      <c r="L19" s="4" t="s">
        <v>465</v>
      </c>
      <c r="M19" s="4" t="s">
        <v>416</v>
      </c>
      <c r="N19" s="11" t="str">
        <f aca="false">IF(AND($G19&lt;=N$5,$H19&gt;=N$4),"■","")</f>
        <v/>
      </c>
      <c r="O19" s="11" t="str">
        <f aca="false">IF(AND($G19&lt;=O$5,$H19&gt;=O$4),"■","")</f>
        <v>■</v>
      </c>
      <c r="P19" s="11" t="str">
        <f aca="false">IF(AND($G19&lt;=P$5,$H19&gt;=P$4),"■","")</f>
        <v/>
      </c>
      <c r="Q19" s="11" t="str">
        <f aca="false">IF(AND($G19&lt;=Q$5,$H19&gt;=Q$4),"■","")</f>
        <v/>
      </c>
      <c r="R19" s="11" t="str">
        <f aca="false">IF(AND($G19&lt;=R$5,$H19&gt;=R$4),"■","")</f>
        <v/>
      </c>
      <c r="S19" s="11" t="str">
        <f aca="false">IF(AND($G19&lt;=S$5,$H19&gt;=S$4),"■","")</f>
        <v/>
      </c>
      <c r="T19" s="11" t="str">
        <f aca="false">IF(AND($G19&lt;=T$5,$H19&gt;=T$4),"■","")</f>
        <v/>
      </c>
      <c r="U19" s="11" t="str">
        <f aca="false">IF(AND($G19&lt;=U$5,$H19&gt;=U$4),"■","")</f>
        <v/>
      </c>
      <c r="V19" s="11" t="str">
        <f aca="false">IF(AND($G19&lt;=V$5,$H19&gt;=V$4),"■","")</f>
        <v/>
      </c>
      <c r="W19" s="11" t="str">
        <f aca="false">IF(AND($G19&lt;=W$5,$H19&gt;=W$4),"■","")</f>
        <v/>
      </c>
      <c r="X19" s="11" t="str">
        <f aca="false">IF(AND($G19&lt;=X$5,$H19&gt;=X$4),"■","")</f>
        <v/>
      </c>
      <c r="Y19" s="11" t="str">
        <f aca="false">IF(AND($G19&lt;=Y$5,$H19&gt;=Y$4),"■","")</f>
        <v/>
      </c>
      <c r="Z19" s="11" t="str">
        <f aca="false">IF(AND($G19&lt;=Z$5,$H19&gt;=Z$4),"■","")</f>
        <v/>
      </c>
      <c r="AA19" s="11" t="str">
        <f aca="false">IF(AND($G19&lt;=AA$5,$H19&gt;=AA$4),"■","")</f>
        <v/>
      </c>
      <c r="AB19" s="11" t="str">
        <f aca="false">IF(AND($G19&lt;=AB$5,$H19&gt;=AB$4),"■","")</f>
        <v/>
      </c>
    </row>
    <row r="20" customFormat="false" ht="35.05" hidden="false" customHeight="false" outlineLevel="0" collapsed="false">
      <c r="A20" s="4" t="s">
        <v>466</v>
      </c>
      <c r="B20" s="4" t="s">
        <v>446</v>
      </c>
      <c r="C20" s="4" t="s">
        <v>467</v>
      </c>
      <c r="D20" s="4" t="s">
        <v>468</v>
      </c>
      <c r="E20" s="4" t="s">
        <v>34</v>
      </c>
      <c r="F20" s="15" t="s">
        <v>414</v>
      </c>
      <c r="G20" s="10" t="n">
        <v>1</v>
      </c>
      <c r="H20" s="10" t="n">
        <v>3</v>
      </c>
      <c r="I20" s="16" t="n">
        <f aca="false">IF(OR(LEFT($B20,2)="P0",$H20&lt;=$G$3),$H20,IF(LEFT($B20,2)="P9",$H20-$E$3+$C$3,ROUND($H20*$C$3/$E$3,0)))</f>
        <v>3</v>
      </c>
      <c r="J20" s="4"/>
      <c r="K20" s="4" t="s">
        <v>462</v>
      </c>
      <c r="L20" s="4" t="s">
        <v>469</v>
      </c>
      <c r="M20" s="4" t="s">
        <v>416</v>
      </c>
      <c r="N20" s="11" t="str">
        <f aca="false">IF(AND($G20&lt;=N$5,$H20&gt;=N$4),"■","")</f>
        <v/>
      </c>
      <c r="O20" s="11" t="str">
        <f aca="false">IF(AND($G20&lt;=O$5,$H20&gt;=O$4),"■","")</f>
        <v>■</v>
      </c>
      <c r="P20" s="11" t="str">
        <f aca="false">IF(AND($G20&lt;=P$5,$H20&gt;=P$4),"■","")</f>
        <v/>
      </c>
      <c r="Q20" s="11" t="str">
        <f aca="false">IF(AND($G20&lt;=Q$5,$H20&gt;=Q$4),"■","")</f>
        <v/>
      </c>
      <c r="R20" s="11" t="str">
        <f aca="false">IF(AND($G20&lt;=R$5,$H20&gt;=R$4),"■","")</f>
        <v/>
      </c>
      <c r="S20" s="11" t="str">
        <f aca="false">IF(AND($G20&lt;=S$5,$H20&gt;=S$4),"■","")</f>
        <v/>
      </c>
      <c r="T20" s="11" t="str">
        <f aca="false">IF(AND($G20&lt;=T$5,$H20&gt;=T$4),"■","")</f>
        <v/>
      </c>
      <c r="U20" s="11" t="str">
        <f aca="false">IF(AND($G20&lt;=U$5,$H20&gt;=U$4),"■","")</f>
        <v/>
      </c>
      <c r="V20" s="11" t="str">
        <f aca="false">IF(AND($G20&lt;=V$5,$H20&gt;=V$4),"■","")</f>
        <v/>
      </c>
      <c r="W20" s="11" t="str">
        <f aca="false">IF(AND($G20&lt;=W$5,$H20&gt;=W$4),"■","")</f>
        <v/>
      </c>
      <c r="X20" s="11" t="str">
        <f aca="false">IF(AND($G20&lt;=X$5,$H20&gt;=X$4),"■","")</f>
        <v/>
      </c>
      <c r="Y20" s="11" t="str">
        <f aca="false">IF(AND($G20&lt;=Y$5,$H20&gt;=Y$4),"■","")</f>
        <v/>
      </c>
      <c r="Z20" s="11" t="str">
        <f aca="false">IF(AND($G20&lt;=Z$5,$H20&gt;=Z$4),"■","")</f>
        <v/>
      </c>
      <c r="AA20" s="11" t="str">
        <f aca="false">IF(AND($G20&lt;=AA$5,$H20&gt;=AA$4),"■","")</f>
        <v/>
      </c>
      <c r="AB20" s="11" t="str">
        <f aca="false">IF(AND($G20&lt;=AB$5,$H20&gt;=AB$4),"■","")</f>
        <v/>
      </c>
    </row>
    <row r="21" customFormat="false" ht="23.85" hidden="false" customHeight="false" outlineLevel="0" collapsed="false">
      <c r="A21" s="4" t="s">
        <v>470</v>
      </c>
      <c r="B21" s="4" t="s">
        <v>446</v>
      </c>
      <c r="C21" s="4" t="s">
        <v>471</v>
      </c>
      <c r="D21" s="4" t="s">
        <v>472</v>
      </c>
      <c r="E21" s="4" t="s">
        <v>34</v>
      </c>
      <c r="F21" s="15" t="s">
        <v>428</v>
      </c>
      <c r="G21" s="10" t="n">
        <v>1</v>
      </c>
      <c r="H21" s="10" t="n">
        <v>2</v>
      </c>
      <c r="I21" s="16" t="n">
        <f aca="false">IF(OR(LEFT($B21,2)="P0",$H21&lt;=$G$3),$H21,IF(LEFT($B21,2)="P9",$H21-$E$3+$C$3,ROUND($H21*$C$3/$E$3,0)))</f>
        <v>2</v>
      </c>
      <c r="J21" s="4"/>
      <c r="K21" s="4" t="s">
        <v>445</v>
      </c>
      <c r="L21" s="4" t="s">
        <v>473</v>
      </c>
      <c r="M21" s="4" t="s">
        <v>416</v>
      </c>
      <c r="N21" s="11" t="str">
        <f aca="false">IF(AND($G21&lt;=N$5,$H21&gt;=N$4),"■","")</f>
        <v/>
      </c>
      <c r="O21" s="11" t="str">
        <f aca="false">IF(AND($G21&lt;=O$5,$H21&gt;=O$4),"■","")</f>
        <v>■</v>
      </c>
      <c r="P21" s="11" t="str">
        <f aca="false">IF(AND($G21&lt;=P$5,$H21&gt;=P$4),"■","")</f>
        <v/>
      </c>
      <c r="Q21" s="11" t="str">
        <f aca="false">IF(AND($G21&lt;=Q$5,$H21&gt;=Q$4),"■","")</f>
        <v/>
      </c>
      <c r="R21" s="11" t="str">
        <f aca="false">IF(AND($G21&lt;=R$5,$H21&gt;=R$4),"■","")</f>
        <v/>
      </c>
      <c r="S21" s="11" t="str">
        <f aca="false">IF(AND($G21&lt;=S$5,$H21&gt;=S$4),"■","")</f>
        <v/>
      </c>
      <c r="T21" s="11" t="str">
        <f aca="false">IF(AND($G21&lt;=T$5,$H21&gt;=T$4),"■","")</f>
        <v/>
      </c>
      <c r="U21" s="11" t="str">
        <f aca="false">IF(AND($G21&lt;=U$5,$H21&gt;=U$4),"■","")</f>
        <v/>
      </c>
      <c r="V21" s="11" t="str">
        <f aca="false">IF(AND($G21&lt;=V$5,$H21&gt;=V$4),"■","")</f>
        <v/>
      </c>
      <c r="W21" s="11" t="str">
        <f aca="false">IF(AND($G21&lt;=W$5,$H21&gt;=W$4),"■","")</f>
        <v/>
      </c>
      <c r="X21" s="11" t="str">
        <f aca="false">IF(AND($G21&lt;=X$5,$H21&gt;=X$4),"■","")</f>
        <v/>
      </c>
      <c r="Y21" s="11" t="str">
        <f aca="false">IF(AND($G21&lt;=Y$5,$H21&gt;=Y$4),"■","")</f>
        <v/>
      </c>
      <c r="Z21" s="11" t="str">
        <f aca="false">IF(AND($G21&lt;=Z$5,$H21&gt;=Z$4),"■","")</f>
        <v/>
      </c>
      <c r="AA21" s="11" t="str">
        <f aca="false">IF(AND($G21&lt;=AA$5,$H21&gt;=AA$4),"■","")</f>
        <v/>
      </c>
      <c r="AB21" s="11" t="str">
        <f aca="false">IF(AND($G21&lt;=AB$5,$H21&gt;=AB$4),"■","")</f>
        <v/>
      </c>
    </row>
    <row r="22" customFormat="false" ht="23.85" hidden="false" customHeight="false" outlineLevel="0" collapsed="false">
      <c r="A22" s="4" t="s">
        <v>474</v>
      </c>
      <c r="B22" s="4" t="s">
        <v>446</v>
      </c>
      <c r="C22" s="4" t="s">
        <v>475</v>
      </c>
      <c r="D22" s="4" t="s">
        <v>476</v>
      </c>
      <c r="E22" s="4" t="s">
        <v>36</v>
      </c>
      <c r="F22" s="15" t="s">
        <v>428</v>
      </c>
      <c r="G22" s="10" t="n">
        <v>2</v>
      </c>
      <c r="H22" s="10" t="n">
        <v>2</v>
      </c>
      <c r="I22" s="16" t="n">
        <f aca="false">IF(OR(LEFT($B22,2)="P0",$H22&lt;=$G$3),$H22,IF(LEFT($B22,2)="P9",$H22-$E$3+$C$3,ROUND($H22*$C$3/$E$3,0)))</f>
        <v>2</v>
      </c>
      <c r="J22" s="4"/>
      <c r="K22" s="4" t="s">
        <v>454</v>
      </c>
      <c r="L22" s="4" t="s">
        <v>477</v>
      </c>
      <c r="M22" s="4" t="s">
        <v>416</v>
      </c>
      <c r="N22" s="11" t="str">
        <f aca="false">IF(AND($G22&lt;=N$5,$H22&gt;=N$4),"■","")</f>
        <v/>
      </c>
      <c r="O22" s="11" t="str">
        <f aca="false">IF(AND($G22&lt;=O$5,$H22&gt;=O$4),"■","")</f>
        <v>■</v>
      </c>
      <c r="P22" s="11" t="str">
        <f aca="false">IF(AND($G22&lt;=P$5,$H22&gt;=P$4),"■","")</f>
        <v/>
      </c>
      <c r="Q22" s="11" t="str">
        <f aca="false">IF(AND($G22&lt;=Q$5,$H22&gt;=Q$4),"■","")</f>
        <v/>
      </c>
      <c r="R22" s="11" t="str">
        <f aca="false">IF(AND($G22&lt;=R$5,$H22&gt;=R$4),"■","")</f>
        <v/>
      </c>
      <c r="S22" s="11" t="str">
        <f aca="false">IF(AND($G22&lt;=S$5,$H22&gt;=S$4),"■","")</f>
        <v/>
      </c>
      <c r="T22" s="11" t="str">
        <f aca="false">IF(AND($G22&lt;=T$5,$H22&gt;=T$4),"■","")</f>
        <v/>
      </c>
      <c r="U22" s="11" t="str">
        <f aca="false">IF(AND($G22&lt;=U$5,$H22&gt;=U$4),"■","")</f>
        <v/>
      </c>
      <c r="V22" s="11" t="str">
        <f aca="false">IF(AND($G22&lt;=V$5,$H22&gt;=V$4),"■","")</f>
        <v/>
      </c>
      <c r="W22" s="11" t="str">
        <f aca="false">IF(AND($G22&lt;=W$5,$H22&gt;=W$4),"■","")</f>
        <v/>
      </c>
      <c r="X22" s="11" t="str">
        <f aca="false">IF(AND($G22&lt;=X$5,$H22&gt;=X$4),"■","")</f>
        <v/>
      </c>
      <c r="Y22" s="11" t="str">
        <f aca="false">IF(AND($G22&lt;=Y$5,$H22&gt;=Y$4),"■","")</f>
        <v/>
      </c>
      <c r="Z22" s="11" t="str">
        <f aca="false">IF(AND($G22&lt;=Z$5,$H22&gt;=Z$4),"■","")</f>
        <v/>
      </c>
      <c r="AA22" s="11" t="str">
        <f aca="false">IF(AND($G22&lt;=AA$5,$H22&gt;=AA$4),"■","")</f>
        <v/>
      </c>
      <c r="AB22" s="11" t="str">
        <f aca="false">IF(AND($G22&lt;=AB$5,$H22&gt;=AB$4),"■","")</f>
        <v/>
      </c>
    </row>
    <row r="23" customFormat="false" ht="23.85" hidden="false" customHeight="false" outlineLevel="0" collapsed="false">
      <c r="A23" s="4" t="s">
        <v>478</v>
      </c>
      <c r="B23" s="4" t="s">
        <v>446</v>
      </c>
      <c r="C23" s="4" t="s">
        <v>479</v>
      </c>
      <c r="D23" s="4" t="s">
        <v>480</v>
      </c>
      <c r="E23" s="4" t="s">
        <v>38</v>
      </c>
      <c r="F23" s="15" t="s">
        <v>428</v>
      </c>
      <c r="G23" s="10" t="n">
        <v>0</v>
      </c>
      <c r="H23" s="10" t="n">
        <v>5</v>
      </c>
      <c r="I23" s="16" t="n">
        <f aca="false">IF(OR(LEFT($B23,2)="P0",$H23&lt;=$G$3),$H23,IF(LEFT($B23,2)="P9",$H23-$E$3+$C$3,ROUND($H23*$C$3/$E$3,0)))</f>
        <v>5</v>
      </c>
      <c r="J23" s="4"/>
      <c r="K23" s="4" t="s">
        <v>454</v>
      </c>
      <c r="L23" s="4" t="s">
        <v>481</v>
      </c>
      <c r="M23" s="4" t="s">
        <v>416</v>
      </c>
      <c r="N23" s="11" t="str">
        <f aca="false">IF(AND($G23&lt;=N$5,$H23&gt;=N$4),"■","")</f>
        <v/>
      </c>
      <c r="O23" s="11" t="str">
        <f aca="false">IF(AND($G23&lt;=O$5,$H23&gt;=O$4),"■","")</f>
        <v>■</v>
      </c>
      <c r="P23" s="11" t="str">
        <f aca="false">IF(AND($G23&lt;=P$5,$H23&gt;=P$4),"■","")</f>
        <v/>
      </c>
      <c r="Q23" s="11" t="str">
        <f aca="false">IF(AND($G23&lt;=Q$5,$H23&gt;=Q$4),"■","")</f>
        <v/>
      </c>
      <c r="R23" s="11" t="str">
        <f aca="false">IF(AND($G23&lt;=R$5,$H23&gt;=R$4),"■","")</f>
        <v/>
      </c>
      <c r="S23" s="11" t="str">
        <f aca="false">IF(AND($G23&lt;=S$5,$H23&gt;=S$4),"■","")</f>
        <v/>
      </c>
      <c r="T23" s="11" t="str">
        <f aca="false">IF(AND($G23&lt;=T$5,$H23&gt;=T$4),"■","")</f>
        <v/>
      </c>
      <c r="U23" s="11" t="str">
        <f aca="false">IF(AND($G23&lt;=U$5,$H23&gt;=U$4),"■","")</f>
        <v/>
      </c>
      <c r="V23" s="11" t="str">
        <f aca="false">IF(AND($G23&lt;=V$5,$H23&gt;=V$4),"■","")</f>
        <v/>
      </c>
      <c r="W23" s="11" t="str">
        <f aca="false">IF(AND($G23&lt;=W$5,$H23&gt;=W$4),"■","")</f>
        <v/>
      </c>
      <c r="X23" s="11" t="str">
        <f aca="false">IF(AND($G23&lt;=X$5,$H23&gt;=X$4),"■","")</f>
        <v/>
      </c>
      <c r="Y23" s="11" t="str">
        <f aca="false">IF(AND($G23&lt;=Y$5,$H23&gt;=Y$4),"■","")</f>
        <v/>
      </c>
      <c r="Z23" s="11" t="str">
        <f aca="false">IF(AND($G23&lt;=Z$5,$H23&gt;=Z$4),"■","")</f>
        <v/>
      </c>
      <c r="AA23" s="11" t="str">
        <f aca="false">IF(AND($G23&lt;=AA$5,$H23&gt;=AA$4),"■","")</f>
        <v/>
      </c>
      <c r="AB23" s="11" t="str">
        <f aca="false">IF(AND($G23&lt;=AB$5,$H23&gt;=AB$4),"■","")</f>
        <v/>
      </c>
    </row>
    <row r="24" customFormat="false" ht="23.85" hidden="false" customHeight="false" outlineLevel="0" collapsed="false">
      <c r="A24" s="4" t="s">
        <v>482</v>
      </c>
      <c r="B24" s="4" t="s">
        <v>483</v>
      </c>
      <c r="C24" s="4" t="s">
        <v>484</v>
      </c>
      <c r="D24" s="4" t="s">
        <v>485</v>
      </c>
      <c r="E24" s="4" t="s">
        <v>38</v>
      </c>
      <c r="F24" s="15" t="s">
        <v>428</v>
      </c>
      <c r="G24" s="10" t="n">
        <v>1</v>
      </c>
      <c r="H24" s="10" t="n">
        <v>3</v>
      </c>
      <c r="I24" s="16" t="n">
        <f aca="false">IF(OR(LEFT($B24,2)="P0",$H24&lt;=$G$3),$H24,IF(LEFT($B24,2)="P9",$H24-$E$3+$C$3,ROUND($H24*$C$3/$E$3,0)))</f>
        <v>3</v>
      </c>
      <c r="J24" s="4"/>
      <c r="K24" s="4" t="s">
        <v>454</v>
      </c>
      <c r="L24" s="4" t="s">
        <v>486</v>
      </c>
      <c r="M24" s="4" t="s">
        <v>416</v>
      </c>
      <c r="N24" s="11" t="str">
        <f aca="false">IF(AND($G24&lt;=N$5,$H24&gt;=N$4),"■","")</f>
        <v/>
      </c>
      <c r="O24" s="11" t="str">
        <f aca="false">IF(AND($G24&lt;=O$5,$H24&gt;=O$4),"■","")</f>
        <v>■</v>
      </c>
      <c r="P24" s="11" t="str">
        <f aca="false">IF(AND($G24&lt;=P$5,$H24&gt;=P$4),"■","")</f>
        <v/>
      </c>
      <c r="Q24" s="11" t="str">
        <f aca="false">IF(AND($G24&lt;=Q$5,$H24&gt;=Q$4),"■","")</f>
        <v/>
      </c>
      <c r="R24" s="11" t="str">
        <f aca="false">IF(AND($G24&lt;=R$5,$H24&gt;=R$4),"■","")</f>
        <v/>
      </c>
      <c r="S24" s="11" t="str">
        <f aca="false">IF(AND($G24&lt;=S$5,$H24&gt;=S$4),"■","")</f>
        <v/>
      </c>
      <c r="T24" s="11" t="str">
        <f aca="false">IF(AND($G24&lt;=T$5,$H24&gt;=T$4),"■","")</f>
        <v/>
      </c>
      <c r="U24" s="11" t="str">
        <f aca="false">IF(AND($G24&lt;=U$5,$H24&gt;=U$4),"■","")</f>
        <v/>
      </c>
      <c r="V24" s="11" t="str">
        <f aca="false">IF(AND($G24&lt;=V$5,$H24&gt;=V$4),"■","")</f>
        <v/>
      </c>
      <c r="W24" s="11" t="str">
        <f aca="false">IF(AND($G24&lt;=W$5,$H24&gt;=W$4),"■","")</f>
        <v/>
      </c>
      <c r="X24" s="11" t="str">
        <f aca="false">IF(AND($G24&lt;=X$5,$H24&gt;=X$4),"■","")</f>
        <v/>
      </c>
      <c r="Y24" s="11" t="str">
        <f aca="false">IF(AND($G24&lt;=Y$5,$H24&gt;=Y$4),"■","")</f>
        <v/>
      </c>
      <c r="Z24" s="11" t="str">
        <f aca="false">IF(AND($G24&lt;=Z$5,$H24&gt;=Z$4),"■","")</f>
        <v/>
      </c>
      <c r="AA24" s="11" t="str">
        <f aca="false">IF(AND($G24&lt;=AA$5,$H24&gt;=AA$4),"■","")</f>
        <v/>
      </c>
      <c r="AB24" s="11" t="str">
        <f aca="false">IF(AND($G24&lt;=AB$5,$H24&gt;=AB$4),"■","")</f>
        <v/>
      </c>
    </row>
    <row r="25" customFormat="false" ht="15" hidden="false" customHeight="false" outlineLevel="0" collapsed="false">
      <c r="A25" s="4" t="s">
        <v>487</v>
      </c>
      <c r="B25" s="4" t="s">
        <v>483</v>
      </c>
      <c r="C25" s="4" t="s">
        <v>488</v>
      </c>
      <c r="D25" s="4" t="s">
        <v>489</v>
      </c>
      <c r="E25" s="4" t="s">
        <v>38</v>
      </c>
      <c r="F25" s="15" t="s">
        <v>428</v>
      </c>
      <c r="G25" s="10" t="n">
        <v>1</v>
      </c>
      <c r="H25" s="10" t="n">
        <v>5</v>
      </c>
      <c r="I25" s="16" t="n">
        <f aca="false">IF(OR(LEFT($B25,2)="P0",$H25&lt;=$G$3),$H25,IF(LEFT($B25,2)="P9",$H25-$E$3+$C$3,ROUND($H25*$C$3/$E$3,0)))</f>
        <v>5</v>
      </c>
      <c r="J25" s="4"/>
      <c r="K25" s="4" t="s">
        <v>454</v>
      </c>
      <c r="L25" s="4" t="s">
        <v>490</v>
      </c>
      <c r="M25" s="4" t="s">
        <v>416</v>
      </c>
      <c r="N25" s="11" t="str">
        <f aca="false">IF(AND($G25&lt;=N$5,$H25&gt;=N$4),"■","")</f>
        <v/>
      </c>
      <c r="O25" s="11" t="str">
        <f aca="false">IF(AND($G25&lt;=O$5,$H25&gt;=O$4),"■","")</f>
        <v>■</v>
      </c>
      <c r="P25" s="11" t="str">
        <f aca="false">IF(AND($G25&lt;=P$5,$H25&gt;=P$4),"■","")</f>
        <v/>
      </c>
      <c r="Q25" s="11" t="str">
        <f aca="false">IF(AND($G25&lt;=Q$5,$H25&gt;=Q$4),"■","")</f>
        <v/>
      </c>
      <c r="R25" s="11" t="str">
        <f aca="false">IF(AND($G25&lt;=R$5,$H25&gt;=R$4),"■","")</f>
        <v/>
      </c>
      <c r="S25" s="11" t="str">
        <f aca="false">IF(AND($G25&lt;=S$5,$H25&gt;=S$4),"■","")</f>
        <v/>
      </c>
      <c r="T25" s="11" t="str">
        <f aca="false">IF(AND($G25&lt;=T$5,$H25&gt;=T$4),"■","")</f>
        <v/>
      </c>
      <c r="U25" s="11" t="str">
        <f aca="false">IF(AND($G25&lt;=U$5,$H25&gt;=U$4),"■","")</f>
        <v/>
      </c>
      <c r="V25" s="11" t="str">
        <f aca="false">IF(AND($G25&lt;=V$5,$H25&gt;=V$4),"■","")</f>
        <v/>
      </c>
      <c r="W25" s="11" t="str">
        <f aca="false">IF(AND($G25&lt;=W$5,$H25&gt;=W$4),"■","")</f>
        <v/>
      </c>
      <c r="X25" s="11" t="str">
        <f aca="false">IF(AND($G25&lt;=X$5,$H25&gt;=X$4),"■","")</f>
        <v/>
      </c>
      <c r="Y25" s="11" t="str">
        <f aca="false">IF(AND($G25&lt;=Y$5,$H25&gt;=Y$4),"■","")</f>
        <v/>
      </c>
      <c r="Z25" s="11" t="str">
        <f aca="false">IF(AND($G25&lt;=Z$5,$H25&gt;=Z$4),"■","")</f>
        <v/>
      </c>
      <c r="AA25" s="11" t="str">
        <f aca="false">IF(AND($G25&lt;=AA$5,$H25&gt;=AA$4),"■","")</f>
        <v/>
      </c>
      <c r="AB25" s="11" t="str">
        <f aca="false">IF(AND($G25&lt;=AB$5,$H25&gt;=AB$4),"■","")</f>
        <v/>
      </c>
    </row>
    <row r="26" customFormat="false" ht="23.85" hidden="false" customHeight="false" outlineLevel="0" collapsed="false">
      <c r="A26" s="4" t="s">
        <v>491</v>
      </c>
      <c r="B26" s="4" t="s">
        <v>483</v>
      </c>
      <c r="C26" s="4" t="s">
        <v>492</v>
      </c>
      <c r="D26" s="4" t="s">
        <v>493</v>
      </c>
      <c r="E26" s="4" t="s">
        <v>38</v>
      </c>
      <c r="F26" s="15" t="s">
        <v>428</v>
      </c>
      <c r="G26" s="10" t="n">
        <v>1</v>
      </c>
      <c r="H26" s="10" t="n">
        <v>7</v>
      </c>
      <c r="I26" s="16" t="n">
        <f aca="false">IF(OR(LEFT($B26,2)="P0",$H26&lt;=$G$3),$H26,IF(LEFT($B26,2)="P9",$H26-$E$3+$C$3,ROUND($H26*$C$3/$E$3,0)))</f>
        <v>7</v>
      </c>
      <c r="J26" s="4"/>
      <c r="K26" s="4" t="s">
        <v>487</v>
      </c>
      <c r="L26" s="4" t="s">
        <v>486</v>
      </c>
      <c r="M26" s="4" t="s">
        <v>416</v>
      </c>
      <c r="N26" s="11" t="str">
        <f aca="false">IF(AND($G26&lt;=N$5,$H26&gt;=N$4),"■","")</f>
        <v/>
      </c>
      <c r="O26" s="11" t="str">
        <f aca="false">IF(AND($G26&lt;=O$5,$H26&gt;=O$4),"■","")</f>
        <v>■</v>
      </c>
      <c r="P26" s="11" t="str">
        <f aca="false">IF(AND($G26&lt;=P$5,$H26&gt;=P$4),"■","")</f>
        <v>■</v>
      </c>
      <c r="Q26" s="11" t="str">
        <f aca="false">IF(AND($G26&lt;=Q$5,$H26&gt;=Q$4),"■","")</f>
        <v/>
      </c>
      <c r="R26" s="11" t="str">
        <f aca="false">IF(AND($G26&lt;=R$5,$H26&gt;=R$4),"■","")</f>
        <v/>
      </c>
      <c r="S26" s="11" t="str">
        <f aca="false">IF(AND($G26&lt;=S$5,$H26&gt;=S$4),"■","")</f>
        <v/>
      </c>
      <c r="T26" s="11" t="str">
        <f aca="false">IF(AND($G26&lt;=T$5,$H26&gt;=T$4),"■","")</f>
        <v/>
      </c>
      <c r="U26" s="11" t="str">
        <f aca="false">IF(AND($G26&lt;=U$5,$H26&gt;=U$4),"■","")</f>
        <v/>
      </c>
      <c r="V26" s="11" t="str">
        <f aca="false">IF(AND($G26&lt;=V$5,$H26&gt;=V$4),"■","")</f>
        <v/>
      </c>
      <c r="W26" s="11" t="str">
        <f aca="false">IF(AND($G26&lt;=W$5,$H26&gt;=W$4),"■","")</f>
        <v/>
      </c>
      <c r="X26" s="11" t="str">
        <f aca="false">IF(AND($G26&lt;=X$5,$H26&gt;=X$4),"■","")</f>
        <v/>
      </c>
      <c r="Y26" s="11" t="str">
        <f aca="false">IF(AND($G26&lt;=Y$5,$H26&gt;=Y$4),"■","")</f>
        <v/>
      </c>
      <c r="Z26" s="11" t="str">
        <f aca="false">IF(AND($G26&lt;=Z$5,$H26&gt;=Z$4),"■","")</f>
        <v/>
      </c>
      <c r="AA26" s="11" t="str">
        <f aca="false">IF(AND($G26&lt;=AA$5,$H26&gt;=AA$4),"■","")</f>
        <v/>
      </c>
      <c r="AB26" s="11" t="str">
        <f aca="false">IF(AND($G26&lt;=AB$5,$H26&gt;=AB$4),"■","")</f>
        <v/>
      </c>
    </row>
    <row r="27" customFormat="false" ht="23.85" hidden="false" customHeight="false" outlineLevel="0" collapsed="false">
      <c r="A27" s="4" t="s">
        <v>494</v>
      </c>
      <c r="B27" s="4" t="s">
        <v>483</v>
      </c>
      <c r="C27" s="4" t="s">
        <v>495</v>
      </c>
      <c r="D27" s="4" t="s">
        <v>496</v>
      </c>
      <c r="E27" s="4" t="s">
        <v>38</v>
      </c>
      <c r="F27" s="15" t="s">
        <v>428</v>
      </c>
      <c r="G27" s="10" t="n">
        <v>1</v>
      </c>
      <c r="H27" s="10" t="n">
        <v>7</v>
      </c>
      <c r="I27" s="16" t="n">
        <f aca="false">IF(OR(LEFT($B27,2)="P0",$H27&lt;=$G$3),$H27,IF(LEFT($B27,2)="P9",$H27-$E$3+$C$3,ROUND($H27*$C$3/$E$3,0)))</f>
        <v>7</v>
      </c>
      <c r="J27" s="4"/>
      <c r="K27" s="4" t="s">
        <v>487</v>
      </c>
      <c r="L27" s="4" t="s">
        <v>497</v>
      </c>
      <c r="M27" s="4" t="s">
        <v>416</v>
      </c>
      <c r="N27" s="11" t="str">
        <f aca="false">IF(AND($G27&lt;=N$5,$H27&gt;=N$4),"■","")</f>
        <v/>
      </c>
      <c r="O27" s="11" t="str">
        <f aca="false">IF(AND($G27&lt;=O$5,$H27&gt;=O$4),"■","")</f>
        <v>■</v>
      </c>
      <c r="P27" s="11" t="str">
        <f aca="false">IF(AND($G27&lt;=P$5,$H27&gt;=P$4),"■","")</f>
        <v>■</v>
      </c>
      <c r="Q27" s="11" t="str">
        <f aca="false">IF(AND($G27&lt;=Q$5,$H27&gt;=Q$4),"■","")</f>
        <v/>
      </c>
      <c r="R27" s="11" t="str">
        <f aca="false">IF(AND($G27&lt;=R$5,$H27&gt;=R$4),"■","")</f>
        <v/>
      </c>
      <c r="S27" s="11" t="str">
        <f aca="false">IF(AND($G27&lt;=S$5,$H27&gt;=S$4),"■","")</f>
        <v/>
      </c>
      <c r="T27" s="11" t="str">
        <f aca="false">IF(AND($G27&lt;=T$5,$H27&gt;=T$4),"■","")</f>
        <v/>
      </c>
      <c r="U27" s="11" t="str">
        <f aca="false">IF(AND($G27&lt;=U$5,$H27&gt;=U$4),"■","")</f>
        <v/>
      </c>
      <c r="V27" s="11" t="str">
        <f aca="false">IF(AND($G27&lt;=V$5,$H27&gt;=V$4),"■","")</f>
        <v/>
      </c>
      <c r="W27" s="11" t="str">
        <f aca="false">IF(AND($G27&lt;=W$5,$H27&gt;=W$4),"■","")</f>
        <v/>
      </c>
      <c r="X27" s="11" t="str">
        <f aca="false">IF(AND($G27&lt;=X$5,$H27&gt;=X$4),"■","")</f>
        <v/>
      </c>
      <c r="Y27" s="11" t="str">
        <f aca="false">IF(AND($G27&lt;=Y$5,$H27&gt;=Y$4),"■","")</f>
        <v/>
      </c>
      <c r="Z27" s="11" t="str">
        <f aca="false">IF(AND($G27&lt;=Z$5,$H27&gt;=Z$4),"■","")</f>
        <v/>
      </c>
      <c r="AA27" s="11" t="str">
        <f aca="false">IF(AND($G27&lt;=AA$5,$H27&gt;=AA$4),"■","")</f>
        <v/>
      </c>
      <c r="AB27" s="11" t="str">
        <f aca="false">IF(AND($G27&lt;=AB$5,$H27&gt;=AB$4),"■","")</f>
        <v/>
      </c>
    </row>
    <row r="28" customFormat="false" ht="23.85" hidden="false" customHeight="false" outlineLevel="0" collapsed="false">
      <c r="A28" s="4" t="s">
        <v>498</v>
      </c>
      <c r="B28" s="4" t="s">
        <v>483</v>
      </c>
      <c r="C28" s="4" t="s">
        <v>499</v>
      </c>
      <c r="D28" s="4" t="s">
        <v>500</v>
      </c>
      <c r="E28" s="4" t="s">
        <v>34</v>
      </c>
      <c r="F28" s="15" t="s">
        <v>428</v>
      </c>
      <c r="G28" s="10" t="n">
        <v>2</v>
      </c>
      <c r="H28" s="10" t="n">
        <v>3</v>
      </c>
      <c r="I28" s="16" t="n">
        <f aca="false">IF(OR(LEFT($B28,2)="P0",$H28&lt;=$G$3),$H28,IF(LEFT($B28,2)="P9",$H28-$E$3+$C$3,ROUND($H28*$C$3/$E$3,0)))</f>
        <v>3</v>
      </c>
      <c r="J28" s="4"/>
      <c r="K28" s="4" t="s">
        <v>458</v>
      </c>
      <c r="L28" s="4" t="s">
        <v>461</v>
      </c>
      <c r="M28" s="4" t="s">
        <v>416</v>
      </c>
      <c r="N28" s="11" t="str">
        <f aca="false">IF(AND($G28&lt;=N$5,$H28&gt;=N$4),"■","")</f>
        <v/>
      </c>
      <c r="O28" s="11" t="str">
        <f aca="false">IF(AND($G28&lt;=O$5,$H28&gt;=O$4),"■","")</f>
        <v>■</v>
      </c>
      <c r="P28" s="11" t="str">
        <f aca="false">IF(AND($G28&lt;=P$5,$H28&gt;=P$4),"■","")</f>
        <v/>
      </c>
      <c r="Q28" s="11" t="str">
        <f aca="false">IF(AND($G28&lt;=Q$5,$H28&gt;=Q$4),"■","")</f>
        <v/>
      </c>
      <c r="R28" s="11" t="str">
        <f aca="false">IF(AND($G28&lt;=R$5,$H28&gt;=R$4),"■","")</f>
        <v/>
      </c>
      <c r="S28" s="11" t="str">
        <f aca="false">IF(AND($G28&lt;=S$5,$H28&gt;=S$4),"■","")</f>
        <v/>
      </c>
      <c r="T28" s="11" t="str">
        <f aca="false">IF(AND($G28&lt;=T$5,$H28&gt;=T$4),"■","")</f>
        <v/>
      </c>
      <c r="U28" s="11" t="str">
        <f aca="false">IF(AND($G28&lt;=U$5,$H28&gt;=U$4),"■","")</f>
        <v/>
      </c>
      <c r="V28" s="11" t="str">
        <f aca="false">IF(AND($G28&lt;=V$5,$H28&gt;=V$4),"■","")</f>
        <v/>
      </c>
      <c r="W28" s="11" t="str">
        <f aca="false">IF(AND($G28&lt;=W$5,$H28&gt;=W$4),"■","")</f>
        <v/>
      </c>
      <c r="X28" s="11" t="str">
        <f aca="false">IF(AND($G28&lt;=X$5,$H28&gt;=X$4),"■","")</f>
        <v/>
      </c>
      <c r="Y28" s="11" t="str">
        <f aca="false">IF(AND($G28&lt;=Y$5,$H28&gt;=Y$4),"■","")</f>
        <v/>
      </c>
      <c r="Z28" s="11" t="str">
        <f aca="false">IF(AND($G28&lt;=Z$5,$H28&gt;=Z$4),"■","")</f>
        <v/>
      </c>
      <c r="AA28" s="11" t="str">
        <f aca="false">IF(AND($G28&lt;=AA$5,$H28&gt;=AA$4),"■","")</f>
        <v/>
      </c>
      <c r="AB28" s="11" t="str">
        <f aca="false">IF(AND($G28&lt;=AB$5,$H28&gt;=AB$4),"■","")</f>
        <v/>
      </c>
    </row>
    <row r="29" customFormat="false" ht="23.85" hidden="false" customHeight="false" outlineLevel="0" collapsed="false">
      <c r="A29" s="4" t="s">
        <v>501</v>
      </c>
      <c r="B29" s="4" t="s">
        <v>483</v>
      </c>
      <c r="C29" s="4" t="s">
        <v>502</v>
      </c>
      <c r="D29" s="4" t="s">
        <v>503</v>
      </c>
      <c r="E29" s="4" t="s">
        <v>34</v>
      </c>
      <c r="F29" s="15" t="s">
        <v>414</v>
      </c>
      <c r="G29" s="10" t="n">
        <v>3</v>
      </c>
      <c r="H29" s="10" t="n">
        <v>7</v>
      </c>
      <c r="I29" s="16" t="n">
        <f aca="false">IF(OR(LEFT($B29,2)="P0",$H29&lt;=$G$3),$H29,IF(LEFT($B29,2)="P9",$H29-$E$3+$C$3,ROUND($H29*$C$3/$E$3,0)))</f>
        <v>7</v>
      </c>
      <c r="J29" s="4"/>
      <c r="K29" s="4" t="s">
        <v>482</v>
      </c>
      <c r="L29" s="4" t="s">
        <v>504</v>
      </c>
      <c r="M29" s="4" t="s">
        <v>416</v>
      </c>
      <c r="N29" s="11" t="str">
        <f aca="false">IF(AND($G29&lt;=N$5,$H29&gt;=N$4),"■","")</f>
        <v/>
      </c>
      <c r="O29" s="11" t="str">
        <f aca="false">IF(AND($G29&lt;=O$5,$H29&gt;=O$4),"■","")</f>
        <v>■</v>
      </c>
      <c r="P29" s="11" t="str">
        <f aca="false">IF(AND($G29&lt;=P$5,$H29&gt;=P$4),"■","")</f>
        <v>■</v>
      </c>
      <c r="Q29" s="11" t="str">
        <f aca="false">IF(AND($G29&lt;=Q$5,$H29&gt;=Q$4),"■","")</f>
        <v/>
      </c>
      <c r="R29" s="11" t="str">
        <f aca="false">IF(AND($G29&lt;=R$5,$H29&gt;=R$4),"■","")</f>
        <v/>
      </c>
      <c r="S29" s="11" t="str">
        <f aca="false">IF(AND($G29&lt;=S$5,$H29&gt;=S$4),"■","")</f>
        <v/>
      </c>
      <c r="T29" s="11" t="str">
        <f aca="false">IF(AND($G29&lt;=T$5,$H29&gt;=T$4),"■","")</f>
        <v/>
      </c>
      <c r="U29" s="11" t="str">
        <f aca="false">IF(AND($G29&lt;=U$5,$H29&gt;=U$4),"■","")</f>
        <v/>
      </c>
      <c r="V29" s="11" t="str">
        <f aca="false">IF(AND($G29&lt;=V$5,$H29&gt;=V$4),"■","")</f>
        <v/>
      </c>
      <c r="W29" s="11" t="str">
        <f aca="false">IF(AND($G29&lt;=W$5,$H29&gt;=W$4),"■","")</f>
        <v/>
      </c>
      <c r="X29" s="11" t="str">
        <f aca="false">IF(AND($G29&lt;=X$5,$H29&gt;=X$4),"■","")</f>
        <v/>
      </c>
      <c r="Y29" s="11" t="str">
        <f aca="false">IF(AND($G29&lt;=Y$5,$H29&gt;=Y$4),"■","")</f>
        <v/>
      </c>
      <c r="Z29" s="11" t="str">
        <f aca="false">IF(AND($G29&lt;=Z$5,$H29&gt;=Z$4),"■","")</f>
        <v/>
      </c>
      <c r="AA29" s="11" t="str">
        <f aca="false">IF(AND($G29&lt;=AA$5,$H29&gt;=AA$4),"■","")</f>
        <v/>
      </c>
      <c r="AB29" s="11" t="str">
        <f aca="false">IF(AND($G29&lt;=AB$5,$H29&gt;=AB$4),"■","")</f>
        <v/>
      </c>
    </row>
    <row r="30" customFormat="false" ht="15" hidden="false" customHeight="false" outlineLevel="0" collapsed="false">
      <c r="A30" s="4" t="s">
        <v>505</v>
      </c>
      <c r="B30" s="4" t="s">
        <v>483</v>
      </c>
      <c r="C30" s="4" t="s">
        <v>506</v>
      </c>
      <c r="D30" s="4" t="s">
        <v>507</v>
      </c>
      <c r="E30" s="4" t="s">
        <v>34</v>
      </c>
      <c r="F30" s="15" t="s">
        <v>414</v>
      </c>
      <c r="G30" s="10" t="n">
        <v>5</v>
      </c>
      <c r="H30" s="10" t="n">
        <v>7</v>
      </c>
      <c r="I30" s="16" t="n">
        <f aca="false">IF(OR(LEFT($B30,2)="P0",$H30&lt;=$G$3),$H30,IF(LEFT($B30,2)="P9",$H30-$E$3+$C$3,ROUND($H30*$C$3/$E$3,0)))</f>
        <v>7</v>
      </c>
      <c r="J30" s="4"/>
      <c r="K30" s="4" t="s">
        <v>501</v>
      </c>
      <c r="L30" s="4" t="s">
        <v>469</v>
      </c>
      <c r="M30" s="4" t="s">
        <v>416</v>
      </c>
      <c r="N30" s="11" t="str">
        <f aca="false">IF(AND($G30&lt;=N$5,$H30&gt;=N$4),"■","")</f>
        <v/>
      </c>
      <c r="O30" s="11" t="str">
        <f aca="false">IF(AND($G30&lt;=O$5,$H30&gt;=O$4),"■","")</f>
        <v>■</v>
      </c>
      <c r="P30" s="11" t="str">
        <f aca="false">IF(AND($G30&lt;=P$5,$H30&gt;=P$4),"■","")</f>
        <v>■</v>
      </c>
      <c r="Q30" s="11" t="str">
        <f aca="false">IF(AND($G30&lt;=Q$5,$H30&gt;=Q$4),"■","")</f>
        <v/>
      </c>
      <c r="R30" s="11" t="str">
        <f aca="false">IF(AND($G30&lt;=R$5,$H30&gt;=R$4),"■","")</f>
        <v/>
      </c>
      <c r="S30" s="11" t="str">
        <f aca="false">IF(AND($G30&lt;=S$5,$H30&gt;=S$4),"■","")</f>
        <v/>
      </c>
      <c r="T30" s="11" t="str">
        <f aca="false">IF(AND($G30&lt;=T$5,$H30&gt;=T$4),"■","")</f>
        <v/>
      </c>
      <c r="U30" s="11" t="str">
        <f aca="false">IF(AND($G30&lt;=U$5,$H30&gt;=U$4),"■","")</f>
        <v/>
      </c>
      <c r="V30" s="11" t="str">
        <f aca="false">IF(AND($G30&lt;=V$5,$H30&gt;=V$4),"■","")</f>
        <v/>
      </c>
      <c r="W30" s="11" t="str">
        <f aca="false">IF(AND($G30&lt;=W$5,$H30&gt;=W$4),"■","")</f>
        <v/>
      </c>
      <c r="X30" s="11" t="str">
        <f aca="false">IF(AND($G30&lt;=X$5,$H30&gt;=X$4),"■","")</f>
        <v/>
      </c>
      <c r="Y30" s="11" t="str">
        <f aca="false">IF(AND($G30&lt;=Y$5,$H30&gt;=Y$4),"■","")</f>
        <v/>
      </c>
      <c r="Z30" s="11" t="str">
        <f aca="false">IF(AND($G30&lt;=Z$5,$H30&gt;=Z$4),"■","")</f>
        <v/>
      </c>
      <c r="AA30" s="11" t="str">
        <f aca="false">IF(AND($G30&lt;=AA$5,$H30&gt;=AA$4),"■","")</f>
        <v/>
      </c>
      <c r="AB30" s="11" t="str">
        <f aca="false">IF(AND($G30&lt;=AB$5,$H30&gt;=AB$4),"■","")</f>
        <v/>
      </c>
    </row>
    <row r="31" customFormat="false" ht="23.85" hidden="false" customHeight="false" outlineLevel="0" collapsed="false">
      <c r="A31" s="4" t="s">
        <v>508</v>
      </c>
      <c r="B31" s="4" t="s">
        <v>509</v>
      </c>
      <c r="C31" s="4" t="s">
        <v>510</v>
      </c>
      <c r="D31" s="4" t="s">
        <v>511</v>
      </c>
      <c r="E31" s="4" t="s">
        <v>34</v>
      </c>
      <c r="F31" s="15" t="s">
        <v>414</v>
      </c>
      <c r="G31" s="10" t="n">
        <v>5</v>
      </c>
      <c r="H31" s="10" t="n">
        <v>7</v>
      </c>
      <c r="I31" s="16" t="n">
        <f aca="false">IF(OR(LEFT($B31,2)="P0",$H31&lt;=$G$3),$H31,IF(LEFT($B31,2)="P9",$H31-$E$3+$C$3,ROUND($H31*$C$3/$E$3,0)))</f>
        <v>7</v>
      </c>
      <c r="J31" s="4"/>
      <c r="K31" s="4" t="s">
        <v>512</v>
      </c>
      <c r="L31" s="4" t="s">
        <v>504</v>
      </c>
      <c r="M31" s="4" t="s">
        <v>416</v>
      </c>
      <c r="N31" s="11" t="str">
        <f aca="false">IF(AND($G31&lt;=N$5,$H31&gt;=N$4),"■","")</f>
        <v/>
      </c>
      <c r="O31" s="11" t="str">
        <f aca="false">IF(AND($G31&lt;=O$5,$H31&gt;=O$4),"■","")</f>
        <v>■</v>
      </c>
      <c r="P31" s="11" t="str">
        <f aca="false">IF(AND($G31&lt;=P$5,$H31&gt;=P$4),"■","")</f>
        <v>■</v>
      </c>
      <c r="Q31" s="11" t="str">
        <f aca="false">IF(AND($G31&lt;=Q$5,$H31&gt;=Q$4),"■","")</f>
        <v/>
      </c>
      <c r="R31" s="11" t="str">
        <f aca="false">IF(AND($G31&lt;=R$5,$H31&gt;=R$4),"■","")</f>
        <v/>
      </c>
      <c r="S31" s="11" t="str">
        <f aca="false">IF(AND($G31&lt;=S$5,$H31&gt;=S$4),"■","")</f>
        <v/>
      </c>
      <c r="T31" s="11" t="str">
        <f aca="false">IF(AND($G31&lt;=T$5,$H31&gt;=T$4),"■","")</f>
        <v/>
      </c>
      <c r="U31" s="11" t="str">
        <f aca="false">IF(AND($G31&lt;=U$5,$H31&gt;=U$4),"■","")</f>
        <v/>
      </c>
      <c r="V31" s="11" t="str">
        <f aca="false">IF(AND($G31&lt;=V$5,$H31&gt;=V$4),"■","")</f>
        <v/>
      </c>
      <c r="W31" s="11" t="str">
        <f aca="false">IF(AND($G31&lt;=W$5,$H31&gt;=W$4),"■","")</f>
        <v/>
      </c>
      <c r="X31" s="11" t="str">
        <f aca="false">IF(AND($G31&lt;=X$5,$H31&gt;=X$4),"■","")</f>
        <v/>
      </c>
      <c r="Y31" s="11" t="str">
        <f aca="false">IF(AND($G31&lt;=Y$5,$H31&gt;=Y$4),"■","")</f>
        <v/>
      </c>
      <c r="Z31" s="11" t="str">
        <f aca="false">IF(AND($G31&lt;=Z$5,$H31&gt;=Z$4),"■","")</f>
        <v/>
      </c>
      <c r="AA31" s="11" t="str">
        <f aca="false">IF(AND($G31&lt;=AA$5,$H31&gt;=AA$4),"■","")</f>
        <v/>
      </c>
      <c r="AB31" s="11" t="str">
        <f aca="false">IF(AND($G31&lt;=AB$5,$H31&gt;=AB$4),"■","")</f>
        <v/>
      </c>
    </row>
    <row r="32" customFormat="false" ht="35.05" hidden="false" customHeight="false" outlineLevel="0" collapsed="false">
      <c r="A32" s="4" t="s">
        <v>513</v>
      </c>
      <c r="B32" s="4" t="s">
        <v>509</v>
      </c>
      <c r="C32" s="4" t="s">
        <v>514</v>
      </c>
      <c r="D32" s="4" t="s">
        <v>515</v>
      </c>
      <c r="E32" s="4" t="s">
        <v>34</v>
      </c>
      <c r="F32" s="15" t="s">
        <v>428</v>
      </c>
      <c r="G32" s="10" t="n">
        <v>5</v>
      </c>
      <c r="H32" s="10" t="n">
        <v>10</v>
      </c>
      <c r="I32" s="16" t="n">
        <f aca="false">IF(OR(LEFT($B32,2)="P0",$H32&lt;=$G$3),$H32,IF(LEFT($B32,2)="P9",$H32-$E$3+$C$3,ROUND($H32*$C$3/$E$3,0)))</f>
        <v>10</v>
      </c>
      <c r="J32" s="4"/>
      <c r="K32" s="4" t="s">
        <v>508</v>
      </c>
      <c r="L32" s="4" t="s">
        <v>516</v>
      </c>
      <c r="M32" s="4" t="s">
        <v>416</v>
      </c>
      <c r="N32" s="11" t="str">
        <f aca="false">IF(AND($G32&lt;=N$5,$H32&gt;=N$4),"■","")</f>
        <v/>
      </c>
      <c r="O32" s="11" t="str">
        <f aca="false">IF(AND($G32&lt;=O$5,$H32&gt;=O$4),"■","")</f>
        <v>■</v>
      </c>
      <c r="P32" s="11" t="str">
        <f aca="false">IF(AND($G32&lt;=P$5,$H32&gt;=P$4),"■","")</f>
        <v>■</v>
      </c>
      <c r="Q32" s="11" t="str">
        <f aca="false">IF(AND($G32&lt;=Q$5,$H32&gt;=Q$4),"■","")</f>
        <v/>
      </c>
      <c r="R32" s="11" t="str">
        <f aca="false">IF(AND($G32&lt;=R$5,$H32&gt;=R$4),"■","")</f>
        <v/>
      </c>
      <c r="S32" s="11" t="str">
        <f aca="false">IF(AND($G32&lt;=S$5,$H32&gt;=S$4),"■","")</f>
        <v/>
      </c>
      <c r="T32" s="11" t="str">
        <f aca="false">IF(AND($G32&lt;=T$5,$H32&gt;=T$4),"■","")</f>
        <v/>
      </c>
      <c r="U32" s="11" t="str">
        <f aca="false">IF(AND($G32&lt;=U$5,$H32&gt;=U$4),"■","")</f>
        <v/>
      </c>
      <c r="V32" s="11" t="str">
        <f aca="false">IF(AND($G32&lt;=V$5,$H32&gt;=V$4),"■","")</f>
        <v/>
      </c>
      <c r="W32" s="11" t="str">
        <f aca="false">IF(AND($G32&lt;=W$5,$H32&gt;=W$4),"■","")</f>
        <v/>
      </c>
      <c r="X32" s="11" t="str">
        <f aca="false">IF(AND($G32&lt;=X$5,$H32&gt;=X$4),"■","")</f>
        <v/>
      </c>
      <c r="Y32" s="11" t="str">
        <f aca="false">IF(AND($G32&lt;=Y$5,$H32&gt;=Y$4),"■","")</f>
        <v/>
      </c>
      <c r="Z32" s="11" t="str">
        <f aca="false">IF(AND($G32&lt;=Z$5,$H32&gt;=Z$4),"■","")</f>
        <v/>
      </c>
      <c r="AA32" s="11" t="str">
        <f aca="false">IF(AND($G32&lt;=AA$5,$H32&gt;=AA$4),"■","")</f>
        <v/>
      </c>
      <c r="AB32" s="11" t="str">
        <f aca="false">IF(AND($G32&lt;=AB$5,$H32&gt;=AB$4),"■","")</f>
        <v/>
      </c>
    </row>
    <row r="33" customFormat="false" ht="23.85" hidden="false" customHeight="false" outlineLevel="0" collapsed="false">
      <c r="A33" s="4" t="s">
        <v>517</v>
      </c>
      <c r="B33" s="4" t="s">
        <v>509</v>
      </c>
      <c r="C33" s="4" t="s">
        <v>518</v>
      </c>
      <c r="D33" s="4" t="s">
        <v>519</v>
      </c>
      <c r="E33" s="4" t="s">
        <v>34</v>
      </c>
      <c r="F33" s="15" t="s">
        <v>428</v>
      </c>
      <c r="G33" s="10" t="n">
        <v>5</v>
      </c>
      <c r="H33" s="10" t="n">
        <v>10</v>
      </c>
      <c r="I33" s="16" t="n">
        <f aca="false">IF(OR(LEFT($B33,2)="P0",$H33&lt;=$G$3),$H33,IF(LEFT($B33,2)="P9",$H33-$E$3+$C$3,ROUND($H33*$C$3/$E$3,0)))</f>
        <v>10</v>
      </c>
      <c r="J33" s="4"/>
      <c r="K33" s="4" t="s">
        <v>513</v>
      </c>
      <c r="L33" s="4" t="s">
        <v>520</v>
      </c>
      <c r="M33" s="4" t="s">
        <v>416</v>
      </c>
      <c r="N33" s="11" t="str">
        <f aca="false">IF(AND($G33&lt;=N$5,$H33&gt;=N$4),"■","")</f>
        <v/>
      </c>
      <c r="O33" s="11" t="str">
        <f aca="false">IF(AND($G33&lt;=O$5,$H33&gt;=O$4),"■","")</f>
        <v>■</v>
      </c>
      <c r="P33" s="11" t="str">
        <f aca="false">IF(AND($G33&lt;=P$5,$H33&gt;=P$4),"■","")</f>
        <v>■</v>
      </c>
      <c r="Q33" s="11" t="str">
        <f aca="false">IF(AND($G33&lt;=Q$5,$H33&gt;=Q$4),"■","")</f>
        <v/>
      </c>
      <c r="R33" s="11" t="str">
        <f aca="false">IF(AND($G33&lt;=R$5,$H33&gt;=R$4),"■","")</f>
        <v/>
      </c>
      <c r="S33" s="11" t="str">
        <f aca="false">IF(AND($G33&lt;=S$5,$H33&gt;=S$4),"■","")</f>
        <v/>
      </c>
      <c r="T33" s="11" t="str">
        <f aca="false">IF(AND($G33&lt;=T$5,$H33&gt;=T$4),"■","")</f>
        <v/>
      </c>
      <c r="U33" s="11" t="str">
        <f aca="false">IF(AND($G33&lt;=U$5,$H33&gt;=U$4),"■","")</f>
        <v/>
      </c>
      <c r="V33" s="11" t="str">
        <f aca="false">IF(AND($G33&lt;=V$5,$H33&gt;=V$4),"■","")</f>
        <v/>
      </c>
      <c r="W33" s="11" t="str">
        <f aca="false">IF(AND($G33&lt;=W$5,$H33&gt;=W$4),"■","")</f>
        <v/>
      </c>
      <c r="X33" s="11" t="str">
        <f aca="false">IF(AND($G33&lt;=X$5,$H33&gt;=X$4),"■","")</f>
        <v/>
      </c>
      <c r="Y33" s="11" t="str">
        <f aca="false">IF(AND($G33&lt;=Y$5,$H33&gt;=Y$4),"■","")</f>
        <v/>
      </c>
      <c r="Z33" s="11" t="str">
        <f aca="false">IF(AND($G33&lt;=Z$5,$H33&gt;=Z$4),"■","")</f>
        <v/>
      </c>
      <c r="AA33" s="11" t="str">
        <f aca="false">IF(AND($G33&lt;=AA$5,$H33&gt;=AA$4),"■","")</f>
        <v/>
      </c>
      <c r="AB33" s="11" t="str">
        <f aca="false">IF(AND($G33&lt;=AB$5,$H33&gt;=AB$4),"■","")</f>
        <v/>
      </c>
    </row>
    <row r="34" customFormat="false" ht="15" hidden="false" customHeight="false" outlineLevel="0" collapsed="false">
      <c r="A34" s="4" t="s">
        <v>521</v>
      </c>
      <c r="B34" s="4" t="s">
        <v>509</v>
      </c>
      <c r="C34" s="4" t="s">
        <v>522</v>
      </c>
      <c r="D34" s="4" t="s">
        <v>523</v>
      </c>
      <c r="E34" s="4" t="s">
        <v>34</v>
      </c>
      <c r="F34" s="15" t="s">
        <v>428</v>
      </c>
      <c r="G34" s="10" t="n">
        <v>6</v>
      </c>
      <c r="H34" s="10" t="n">
        <v>11</v>
      </c>
      <c r="I34" s="16" t="n">
        <f aca="false">IF(OR(LEFT($B34,2)="P0",$H34&lt;=$G$3),$H34,IF(LEFT($B34,2)="P9",$H34-$E$3+$C$3,ROUND($H34*$C$3/$E$3,0)))</f>
        <v>11</v>
      </c>
      <c r="J34" s="4"/>
      <c r="K34" s="4" t="s">
        <v>513</v>
      </c>
      <c r="L34" s="4" t="s">
        <v>524</v>
      </c>
      <c r="M34" s="4" t="s">
        <v>416</v>
      </c>
      <c r="N34" s="11" t="str">
        <f aca="false">IF(AND($G34&lt;=N$5,$H34&gt;=N$4),"■","")</f>
        <v/>
      </c>
      <c r="O34" s="11" t="str">
        <f aca="false">IF(AND($G34&lt;=O$5,$H34&gt;=O$4),"■","")</f>
        <v>■</v>
      </c>
      <c r="P34" s="11" t="str">
        <f aca="false">IF(AND($G34&lt;=P$5,$H34&gt;=P$4),"■","")</f>
        <v>■</v>
      </c>
      <c r="Q34" s="11" t="str">
        <f aca="false">IF(AND($G34&lt;=Q$5,$H34&gt;=Q$4),"■","")</f>
        <v/>
      </c>
      <c r="R34" s="11" t="str">
        <f aca="false">IF(AND($G34&lt;=R$5,$H34&gt;=R$4),"■","")</f>
        <v/>
      </c>
      <c r="S34" s="11" t="str">
        <f aca="false">IF(AND($G34&lt;=S$5,$H34&gt;=S$4),"■","")</f>
        <v/>
      </c>
      <c r="T34" s="11" t="str">
        <f aca="false">IF(AND($G34&lt;=T$5,$H34&gt;=T$4),"■","")</f>
        <v/>
      </c>
      <c r="U34" s="11" t="str">
        <f aca="false">IF(AND($G34&lt;=U$5,$H34&gt;=U$4),"■","")</f>
        <v/>
      </c>
      <c r="V34" s="11" t="str">
        <f aca="false">IF(AND($G34&lt;=V$5,$H34&gt;=V$4),"■","")</f>
        <v/>
      </c>
      <c r="W34" s="11" t="str">
        <f aca="false">IF(AND($G34&lt;=W$5,$H34&gt;=W$4),"■","")</f>
        <v/>
      </c>
      <c r="X34" s="11" t="str">
        <f aca="false">IF(AND($G34&lt;=X$5,$H34&gt;=X$4),"■","")</f>
        <v/>
      </c>
      <c r="Y34" s="11" t="str">
        <f aca="false">IF(AND($G34&lt;=Y$5,$H34&gt;=Y$4),"■","")</f>
        <v/>
      </c>
      <c r="Z34" s="11" t="str">
        <f aca="false">IF(AND($G34&lt;=Z$5,$H34&gt;=Z$4),"■","")</f>
        <v/>
      </c>
      <c r="AA34" s="11" t="str">
        <f aca="false">IF(AND($G34&lt;=AA$5,$H34&gt;=AA$4),"■","")</f>
        <v/>
      </c>
      <c r="AB34" s="11" t="str">
        <f aca="false">IF(AND($G34&lt;=AB$5,$H34&gt;=AB$4),"■","")</f>
        <v/>
      </c>
    </row>
    <row r="35" customFormat="false" ht="15" hidden="false" customHeight="false" outlineLevel="0" collapsed="false">
      <c r="A35" s="4" t="s">
        <v>525</v>
      </c>
      <c r="B35" s="4" t="s">
        <v>526</v>
      </c>
      <c r="C35" s="4" t="s">
        <v>527</v>
      </c>
      <c r="D35" s="4" t="s">
        <v>528</v>
      </c>
      <c r="E35" s="4" t="s">
        <v>34</v>
      </c>
      <c r="F35" s="15" t="s">
        <v>414</v>
      </c>
      <c r="G35" s="10" t="n">
        <v>7</v>
      </c>
      <c r="H35" s="10" t="n">
        <v>12</v>
      </c>
      <c r="I35" s="16" t="n">
        <f aca="false">IF(OR(LEFT($B35,2)="P0",$H35&lt;=$G$3),$H35,IF(LEFT($B35,2)="P9",$H35-$E$3+$C$3,ROUND($H35*$C$3/$E$3,0)))</f>
        <v>12</v>
      </c>
      <c r="J35" s="4"/>
      <c r="K35" s="4" t="s">
        <v>482</v>
      </c>
      <c r="L35" s="4" t="s">
        <v>529</v>
      </c>
      <c r="M35" s="4" t="s">
        <v>416</v>
      </c>
      <c r="N35" s="11" t="str">
        <f aca="false">IF(AND($G35&lt;=N$5,$H35&gt;=N$4),"■","")</f>
        <v/>
      </c>
      <c r="O35" s="11" t="str">
        <f aca="false">IF(AND($G35&lt;=O$5,$H35&gt;=O$4),"■","")</f>
        <v/>
      </c>
      <c r="P35" s="11" t="str">
        <f aca="false">IF(AND($G35&lt;=P$5,$H35&gt;=P$4),"■","")</f>
        <v>■</v>
      </c>
      <c r="Q35" s="11" t="str">
        <f aca="false">IF(AND($G35&lt;=Q$5,$H35&gt;=Q$4),"■","")</f>
        <v/>
      </c>
      <c r="R35" s="11" t="str">
        <f aca="false">IF(AND($G35&lt;=R$5,$H35&gt;=R$4),"■","")</f>
        <v/>
      </c>
      <c r="S35" s="11" t="str">
        <f aca="false">IF(AND($G35&lt;=S$5,$H35&gt;=S$4),"■","")</f>
        <v/>
      </c>
      <c r="T35" s="11" t="str">
        <f aca="false">IF(AND($G35&lt;=T$5,$H35&gt;=T$4),"■","")</f>
        <v/>
      </c>
      <c r="U35" s="11" t="str">
        <f aca="false">IF(AND($G35&lt;=U$5,$H35&gt;=U$4),"■","")</f>
        <v/>
      </c>
      <c r="V35" s="11" t="str">
        <f aca="false">IF(AND($G35&lt;=V$5,$H35&gt;=V$4),"■","")</f>
        <v/>
      </c>
      <c r="W35" s="11" t="str">
        <f aca="false">IF(AND($G35&lt;=W$5,$H35&gt;=W$4),"■","")</f>
        <v/>
      </c>
      <c r="X35" s="11" t="str">
        <f aca="false">IF(AND($G35&lt;=X$5,$H35&gt;=X$4),"■","")</f>
        <v/>
      </c>
      <c r="Y35" s="11" t="str">
        <f aca="false">IF(AND($G35&lt;=Y$5,$H35&gt;=Y$4),"■","")</f>
        <v/>
      </c>
      <c r="Z35" s="11" t="str">
        <f aca="false">IF(AND($G35&lt;=Z$5,$H35&gt;=Z$4),"■","")</f>
        <v/>
      </c>
      <c r="AA35" s="11" t="str">
        <f aca="false">IF(AND($G35&lt;=AA$5,$H35&gt;=AA$4),"■","")</f>
        <v/>
      </c>
      <c r="AB35" s="11" t="str">
        <f aca="false">IF(AND($G35&lt;=AB$5,$H35&gt;=AB$4),"■","")</f>
        <v/>
      </c>
    </row>
    <row r="36" customFormat="false" ht="23.85" hidden="false" customHeight="false" outlineLevel="0" collapsed="false">
      <c r="A36" s="4" t="s">
        <v>530</v>
      </c>
      <c r="B36" s="4" t="s">
        <v>526</v>
      </c>
      <c r="C36" s="4" t="s">
        <v>531</v>
      </c>
      <c r="D36" s="4" t="s">
        <v>532</v>
      </c>
      <c r="E36" s="4" t="s">
        <v>34</v>
      </c>
      <c r="F36" s="15" t="s">
        <v>414</v>
      </c>
      <c r="G36" s="10" t="n">
        <v>10</v>
      </c>
      <c r="H36" s="10" t="n">
        <v>21</v>
      </c>
      <c r="I36" s="16" t="n">
        <f aca="false">IF(OR(LEFT($B36,2)="P0",$H36&lt;=$G$3),$H36,IF(LEFT($B36,2)="P9",$H36-$E$3+$C$3,ROUND($H36*$C$3/$E$3,0)))</f>
        <v>21</v>
      </c>
      <c r="J36" s="4"/>
      <c r="K36" s="4" t="s">
        <v>501</v>
      </c>
      <c r="L36" s="4" t="s">
        <v>529</v>
      </c>
      <c r="M36" s="4" t="s">
        <v>416</v>
      </c>
      <c r="N36" s="11" t="str">
        <f aca="false">IF(AND($G36&lt;=N$5,$H36&gt;=N$4),"■","")</f>
        <v/>
      </c>
      <c r="O36" s="11" t="str">
        <f aca="false">IF(AND($G36&lt;=O$5,$H36&gt;=O$4),"■","")</f>
        <v/>
      </c>
      <c r="P36" s="11" t="str">
        <f aca="false">IF(AND($G36&lt;=P$5,$H36&gt;=P$4),"■","")</f>
        <v>■</v>
      </c>
      <c r="Q36" s="11" t="str">
        <f aca="false">IF(AND($G36&lt;=Q$5,$H36&gt;=Q$4),"■","")</f>
        <v>■</v>
      </c>
      <c r="R36" s="11" t="str">
        <f aca="false">IF(AND($G36&lt;=R$5,$H36&gt;=R$4),"■","")</f>
        <v>■</v>
      </c>
      <c r="S36" s="11" t="str">
        <f aca="false">IF(AND($G36&lt;=S$5,$H36&gt;=S$4),"■","")</f>
        <v/>
      </c>
      <c r="T36" s="11" t="str">
        <f aca="false">IF(AND($G36&lt;=T$5,$H36&gt;=T$4),"■","")</f>
        <v/>
      </c>
      <c r="U36" s="11" t="str">
        <f aca="false">IF(AND($G36&lt;=U$5,$H36&gt;=U$4),"■","")</f>
        <v/>
      </c>
      <c r="V36" s="11" t="str">
        <f aca="false">IF(AND($G36&lt;=V$5,$H36&gt;=V$4),"■","")</f>
        <v/>
      </c>
      <c r="W36" s="11" t="str">
        <f aca="false">IF(AND($G36&lt;=W$5,$H36&gt;=W$4),"■","")</f>
        <v/>
      </c>
      <c r="X36" s="11" t="str">
        <f aca="false">IF(AND($G36&lt;=X$5,$H36&gt;=X$4),"■","")</f>
        <v/>
      </c>
      <c r="Y36" s="11" t="str">
        <f aca="false">IF(AND($G36&lt;=Y$5,$H36&gt;=Y$4),"■","")</f>
        <v/>
      </c>
      <c r="Z36" s="11" t="str">
        <f aca="false">IF(AND($G36&lt;=Z$5,$H36&gt;=Z$4),"■","")</f>
        <v/>
      </c>
      <c r="AA36" s="11" t="str">
        <f aca="false">IF(AND($G36&lt;=AA$5,$H36&gt;=AA$4),"■","")</f>
        <v/>
      </c>
      <c r="AB36" s="11" t="str">
        <f aca="false">IF(AND($G36&lt;=AB$5,$H36&gt;=AB$4),"■","")</f>
        <v/>
      </c>
    </row>
    <row r="37" customFormat="false" ht="35.05" hidden="false" customHeight="false" outlineLevel="0" collapsed="false">
      <c r="A37" s="4" t="s">
        <v>533</v>
      </c>
      <c r="B37" s="4" t="s">
        <v>526</v>
      </c>
      <c r="C37" s="4" t="s">
        <v>534</v>
      </c>
      <c r="D37" s="4" t="s">
        <v>535</v>
      </c>
      <c r="E37" s="4" t="s">
        <v>34</v>
      </c>
      <c r="F37" s="15" t="s">
        <v>414</v>
      </c>
      <c r="G37" s="10" t="n">
        <v>14</v>
      </c>
      <c r="H37" s="10" t="n">
        <v>25</v>
      </c>
      <c r="I37" s="16" t="n">
        <f aca="false">IF(OR(LEFT($B37,2)="P0",$H37&lt;=$G$3),$H37,IF(LEFT($B37,2)="P9",$H37-$E$3+$C$3,ROUND($H37*$C$3/$E$3,0)))</f>
        <v>25</v>
      </c>
      <c r="J37" s="4"/>
      <c r="K37" s="4" t="s">
        <v>530</v>
      </c>
      <c r="L37" s="4" t="s">
        <v>529</v>
      </c>
      <c r="M37" s="4" t="s">
        <v>416</v>
      </c>
      <c r="N37" s="11" t="str">
        <f aca="false">IF(AND($G37&lt;=N$5,$H37&gt;=N$4),"■","")</f>
        <v/>
      </c>
      <c r="O37" s="11" t="str">
        <f aca="false">IF(AND($G37&lt;=O$5,$H37&gt;=O$4),"■","")</f>
        <v/>
      </c>
      <c r="P37" s="11" t="str">
        <f aca="false">IF(AND($G37&lt;=P$5,$H37&gt;=P$4),"■","")</f>
        <v/>
      </c>
      <c r="Q37" s="11" t="str">
        <f aca="false">IF(AND($G37&lt;=Q$5,$H37&gt;=Q$4),"■","")</f>
        <v>■</v>
      </c>
      <c r="R37" s="11" t="str">
        <f aca="false">IF(AND($G37&lt;=R$5,$H37&gt;=R$4),"■","")</f>
        <v>■</v>
      </c>
      <c r="S37" s="11" t="str">
        <f aca="false">IF(AND($G37&lt;=S$5,$H37&gt;=S$4),"■","")</f>
        <v/>
      </c>
      <c r="T37" s="11" t="str">
        <f aca="false">IF(AND($G37&lt;=T$5,$H37&gt;=T$4),"■","")</f>
        <v/>
      </c>
      <c r="U37" s="11" t="str">
        <f aca="false">IF(AND($G37&lt;=U$5,$H37&gt;=U$4),"■","")</f>
        <v/>
      </c>
      <c r="V37" s="11" t="str">
        <f aca="false">IF(AND($G37&lt;=V$5,$H37&gt;=V$4),"■","")</f>
        <v/>
      </c>
      <c r="W37" s="11" t="str">
        <f aca="false">IF(AND($G37&lt;=W$5,$H37&gt;=W$4),"■","")</f>
        <v/>
      </c>
      <c r="X37" s="11" t="str">
        <f aca="false">IF(AND($G37&lt;=X$5,$H37&gt;=X$4),"■","")</f>
        <v/>
      </c>
      <c r="Y37" s="11" t="str">
        <f aca="false">IF(AND($G37&lt;=Y$5,$H37&gt;=Y$4),"■","")</f>
        <v/>
      </c>
      <c r="Z37" s="11" t="str">
        <f aca="false">IF(AND($G37&lt;=Z$5,$H37&gt;=Z$4),"■","")</f>
        <v/>
      </c>
      <c r="AA37" s="11" t="str">
        <f aca="false">IF(AND($G37&lt;=AA$5,$H37&gt;=AA$4),"■","")</f>
        <v/>
      </c>
      <c r="AB37" s="11" t="str">
        <f aca="false">IF(AND($G37&lt;=AB$5,$H37&gt;=AB$4),"■","")</f>
        <v/>
      </c>
    </row>
    <row r="38" customFormat="false" ht="35.05" hidden="false" customHeight="false" outlineLevel="0" collapsed="false">
      <c r="A38" s="4" t="s">
        <v>536</v>
      </c>
      <c r="B38" s="4" t="s">
        <v>526</v>
      </c>
      <c r="C38" s="4" t="s">
        <v>537</v>
      </c>
      <c r="D38" s="4" t="s">
        <v>538</v>
      </c>
      <c r="E38" s="4" t="s">
        <v>34</v>
      </c>
      <c r="F38" s="15" t="s">
        <v>414</v>
      </c>
      <c r="G38" s="10" t="n">
        <v>14</v>
      </c>
      <c r="H38" s="10" t="n">
        <v>28</v>
      </c>
      <c r="I38" s="16" t="n">
        <f aca="false">IF(OR(LEFT($B38,2)="P0",$H38&lt;=$G$3),$H38,IF(LEFT($B38,2)="P9",$H38-$E$3+$C$3,ROUND($H38*$C$3/$E$3,0)))</f>
        <v>28</v>
      </c>
      <c r="J38" s="4"/>
      <c r="K38" s="4" t="s">
        <v>491</v>
      </c>
      <c r="L38" s="4" t="s">
        <v>529</v>
      </c>
      <c r="M38" s="4" t="s">
        <v>416</v>
      </c>
      <c r="N38" s="11" t="str">
        <f aca="false">IF(AND($G38&lt;=N$5,$H38&gt;=N$4),"■","")</f>
        <v/>
      </c>
      <c r="O38" s="11" t="str">
        <f aca="false">IF(AND($G38&lt;=O$5,$H38&gt;=O$4),"■","")</f>
        <v/>
      </c>
      <c r="P38" s="11" t="str">
        <f aca="false">IF(AND($G38&lt;=P$5,$H38&gt;=P$4),"■","")</f>
        <v/>
      </c>
      <c r="Q38" s="11" t="str">
        <f aca="false">IF(AND($G38&lt;=Q$5,$H38&gt;=Q$4),"■","")</f>
        <v>■</v>
      </c>
      <c r="R38" s="11" t="str">
        <f aca="false">IF(AND($G38&lt;=R$5,$H38&gt;=R$4),"■","")</f>
        <v>■</v>
      </c>
      <c r="S38" s="11" t="str">
        <f aca="false">IF(AND($G38&lt;=S$5,$H38&gt;=S$4),"■","")</f>
        <v>■</v>
      </c>
      <c r="T38" s="11" t="str">
        <f aca="false">IF(AND($G38&lt;=T$5,$H38&gt;=T$4),"■","")</f>
        <v/>
      </c>
      <c r="U38" s="11" t="str">
        <f aca="false">IF(AND($G38&lt;=U$5,$H38&gt;=U$4),"■","")</f>
        <v/>
      </c>
      <c r="V38" s="11" t="str">
        <f aca="false">IF(AND($G38&lt;=V$5,$H38&gt;=V$4),"■","")</f>
        <v/>
      </c>
      <c r="W38" s="11" t="str">
        <f aca="false">IF(AND($G38&lt;=W$5,$H38&gt;=W$4),"■","")</f>
        <v/>
      </c>
      <c r="X38" s="11" t="str">
        <f aca="false">IF(AND($G38&lt;=X$5,$H38&gt;=X$4),"■","")</f>
        <v/>
      </c>
      <c r="Y38" s="11" t="str">
        <f aca="false">IF(AND($G38&lt;=Y$5,$H38&gt;=Y$4),"■","")</f>
        <v/>
      </c>
      <c r="Z38" s="11" t="str">
        <f aca="false">IF(AND($G38&lt;=Z$5,$H38&gt;=Z$4),"■","")</f>
        <v/>
      </c>
      <c r="AA38" s="11" t="str">
        <f aca="false">IF(AND($G38&lt;=AA$5,$H38&gt;=AA$4),"■","")</f>
        <v/>
      </c>
      <c r="AB38" s="11" t="str">
        <f aca="false">IF(AND($G38&lt;=AB$5,$H38&gt;=AB$4),"■","")</f>
        <v/>
      </c>
    </row>
    <row r="39" customFormat="false" ht="23.85" hidden="false" customHeight="false" outlineLevel="0" collapsed="false">
      <c r="A39" s="4" t="s">
        <v>539</v>
      </c>
      <c r="B39" s="4" t="s">
        <v>526</v>
      </c>
      <c r="C39" s="4" t="s">
        <v>540</v>
      </c>
      <c r="D39" s="4" t="s">
        <v>541</v>
      </c>
      <c r="E39" s="4" t="s">
        <v>34</v>
      </c>
      <c r="F39" s="15" t="s">
        <v>428</v>
      </c>
      <c r="G39" s="10" t="n">
        <v>18</v>
      </c>
      <c r="H39" s="10" t="n">
        <v>28</v>
      </c>
      <c r="I39" s="16" t="n">
        <f aca="false">IF(OR(LEFT($B39,2)="P0",$H39&lt;=$G$3),$H39,IF(LEFT($B39,2)="P9",$H39-$E$3+$C$3,ROUND($H39*$C$3/$E$3,0)))</f>
        <v>28</v>
      </c>
      <c r="J39" s="4"/>
      <c r="K39" s="4" t="s">
        <v>505</v>
      </c>
      <c r="L39" s="4" t="s">
        <v>542</v>
      </c>
      <c r="M39" s="4" t="s">
        <v>416</v>
      </c>
      <c r="N39" s="11" t="str">
        <f aca="false">IF(AND($G39&lt;=N$5,$H39&gt;=N$4),"■","")</f>
        <v/>
      </c>
      <c r="O39" s="11" t="str">
        <f aca="false">IF(AND($G39&lt;=O$5,$H39&gt;=O$4),"■","")</f>
        <v/>
      </c>
      <c r="P39" s="11" t="str">
        <f aca="false">IF(AND($G39&lt;=P$5,$H39&gt;=P$4),"■","")</f>
        <v/>
      </c>
      <c r="Q39" s="11" t="str">
        <f aca="false">IF(AND($G39&lt;=Q$5,$H39&gt;=Q$4),"■","")</f>
        <v>■</v>
      </c>
      <c r="R39" s="11" t="str">
        <f aca="false">IF(AND($G39&lt;=R$5,$H39&gt;=R$4),"■","")</f>
        <v>■</v>
      </c>
      <c r="S39" s="11" t="str">
        <f aca="false">IF(AND($G39&lt;=S$5,$H39&gt;=S$4),"■","")</f>
        <v>■</v>
      </c>
      <c r="T39" s="11" t="str">
        <f aca="false">IF(AND($G39&lt;=T$5,$H39&gt;=T$4),"■","")</f>
        <v/>
      </c>
      <c r="U39" s="11" t="str">
        <f aca="false">IF(AND($G39&lt;=U$5,$H39&gt;=U$4),"■","")</f>
        <v/>
      </c>
      <c r="V39" s="11" t="str">
        <f aca="false">IF(AND($G39&lt;=V$5,$H39&gt;=V$4),"■","")</f>
        <v/>
      </c>
      <c r="W39" s="11" t="str">
        <f aca="false">IF(AND($G39&lt;=W$5,$H39&gt;=W$4),"■","")</f>
        <v/>
      </c>
      <c r="X39" s="11" t="str">
        <f aca="false">IF(AND($G39&lt;=X$5,$H39&gt;=X$4),"■","")</f>
        <v/>
      </c>
      <c r="Y39" s="11" t="str">
        <f aca="false">IF(AND($G39&lt;=Y$5,$H39&gt;=Y$4),"■","")</f>
        <v/>
      </c>
      <c r="Z39" s="11" t="str">
        <f aca="false">IF(AND($G39&lt;=Z$5,$H39&gt;=Z$4),"■","")</f>
        <v/>
      </c>
      <c r="AA39" s="11" t="str">
        <f aca="false">IF(AND($G39&lt;=AA$5,$H39&gt;=AA$4),"■","")</f>
        <v/>
      </c>
      <c r="AB39" s="11" t="str">
        <f aca="false">IF(AND($G39&lt;=AB$5,$H39&gt;=AB$4),"■","")</f>
        <v/>
      </c>
    </row>
    <row r="40" customFormat="false" ht="35.05" hidden="false" customHeight="false" outlineLevel="0" collapsed="false">
      <c r="A40" s="4" t="s">
        <v>543</v>
      </c>
      <c r="B40" s="4" t="s">
        <v>526</v>
      </c>
      <c r="C40" s="4" t="s">
        <v>544</v>
      </c>
      <c r="D40" s="4" t="s">
        <v>545</v>
      </c>
      <c r="E40" s="4" t="s">
        <v>34</v>
      </c>
      <c r="F40" s="15" t="s">
        <v>414</v>
      </c>
      <c r="G40" s="10" t="n">
        <v>25</v>
      </c>
      <c r="H40" s="10" t="n">
        <v>30</v>
      </c>
      <c r="I40" s="16" t="n">
        <f aca="false">IF(OR(LEFT($B40,2)="P0",$H40&lt;=$G$3),$H40,IF(LEFT($B40,2)="P9",$H40-$E$3+$C$3,ROUND($H40*$C$3/$E$3,0)))</f>
        <v>30</v>
      </c>
      <c r="J40" s="4"/>
      <c r="K40" s="4" t="s">
        <v>546</v>
      </c>
      <c r="L40" s="4" t="s">
        <v>529</v>
      </c>
      <c r="M40" s="4" t="s">
        <v>416</v>
      </c>
      <c r="N40" s="11" t="str">
        <f aca="false">IF(AND($G40&lt;=N$5,$H40&gt;=N$4),"■","")</f>
        <v/>
      </c>
      <c r="O40" s="11" t="str">
        <f aca="false">IF(AND($G40&lt;=O$5,$H40&gt;=O$4),"■","")</f>
        <v/>
      </c>
      <c r="P40" s="11" t="str">
        <f aca="false">IF(AND($G40&lt;=P$5,$H40&gt;=P$4),"■","")</f>
        <v/>
      </c>
      <c r="Q40" s="11" t="str">
        <f aca="false">IF(AND($G40&lt;=Q$5,$H40&gt;=Q$4),"■","")</f>
        <v/>
      </c>
      <c r="R40" s="11" t="str">
        <f aca="false">IF(AND($G40&lt;=R$5,$H40&gt;=R$4),"■","")</f>
        <v>■</v>
      </c>
      <c r="S40" s="11" t="str">
        <f aca="false">IF(AND($G40&lt;=S$5,$H40&gt;=S$4),"■","")</f>
        <v>■</v>
      </c>
      <c r="T40" s="11" t="str">
        <f aca="false">IF(AND($G40&lt;=T$5,$H40&gt;=T$4),"■","")</f>
        <v/>
      </c>
      <c r="U40" s="11" t="str">
        <f aca="false">IF(AND($G40&lt;=U$5,$H40&gt;=U$4),"■","")</f>
        <v/>
      </c>
      <c r="V40" s="11" t="str">
        <f aca="false">IF(AND($G40&lt;=V$5,$H40&gt;=V$4),"■","")</f>
        <v/>
      </c>
      <c r="W40" s="11" t="str">
        <f aca="false">IF(AND($G40&lt;=W$5,$H40&gt;=W$4),"■","")</f>
        <v/>
      </c>
      <c r="X40" s="11" t="str">
        <f aca="false">IF(AND($G40&lt;=X$5,$H40&gt;=X$4),"■","")</f>
        <v/>
      </c>
      <c r="Y40" s="11" t="str">
        <f aca="false">IF(AND($G40&lt;=Y$5,$H40&gt;=Y$4),"■","")</f>
        <v/>
      </c>
      <c r="Z40" s="11" t="str">
        <f aca="false">IF(AND($G40&lt;=Z$5,$H40&gt;=Z$4),"■","")</f>
        <v/>
      </c>
      <c r="AA40" s="11" t="str">
        <f aca="false">IF(AND($G40&lt;=AA$5,$H40&gt;=AA$4),"■","")</f>
        <v/>
      </c>
      <c r="AB40" s="11" t="str">
        <f aca="false">IF(AND($G40&lt;=AB$5,$H40&gt;=AB$4),"■","")</f>
        <v/>
      </c>
    </row>
    <row r="41" customFormat="false" ht="15" hidden="false" customHeight="false" outlineLevel="0" collapsed="false">
      <c r="A41" s="4" t="s">
        <v>547</v>
      </c>
      <c r="B41" s="4" t="s">
        <v>526</v>
      </c>
      <c r="C41" s="4" t="s">
        <v>548</v>
      </c>
      <c r="D41" s="4" t="s">
        <v>549</v>
      </c>
      <c r="E41" s="4" t="s">
        <v>34</v>
      </c>
      <c r="F41" s="15" t="s">
        <v>428</v>
      </c>
      <c r="G41" s="10" t="n">
        <v>28</v>
      </c>
      <c r="H41" s="10" t="n">
        <v>30</v>
      </c>
      <c r="I41" s="16" t="n">
        <f aca="false">IF(OR(LEFT($B41,2)="P0",$H41&lt;=$G$3),$H41,IF(LEFT($B41,2)="P9",$H41-$E$3+$C$3,ROUND($H41*$C$3/$E$3,0)))</f>
        <v>30</v>
      </c>
      <c r="J41" s="4"/>
      <c r="K41" s="4" t="s">
        <v>543</v>
      </c>
      <c r="L41" s="4" t="s">
        <v>461</v>
      </c>
      <c r="M41" s="4" t="s">
        <v>416</v>
      </c>
      <c r="N41" s="11" t="str">
        <f aca="false">IF(AND($G41&lt;=N$5,$H41&gt;=N$4),"■","")</f>
        <v/>
      </c>
      <c r="O41" s="11" t="str">
        <f aca="false">IF(AND($G41&lt;=O$5,$H41&gt;=O$4),"■","")</f>
        <v/>
      </c>
      <c r="P41" s="11" t="str">
        <f aca="false">IF(AND($G41&lt;=P$5,$H41&gt;=P$4),"■","")</f>
        <v/>
      </c>
      <c r="Q41" s="11" t="str">
        <f aca="false">IF(AND($G41&lt;=Q$5,$H41&gt;=Q$4),"■","")</f>
        <v/>
      </c>
      <c r="R41" s="11" t="str">
        <f aca="false">IF(AND($G41&lt;=R$5,$H41&gt;=R$4),"■","")</f>
        <v/>
      </c>
      <c r="S41" s="11" t="str">
        <f aca="false">IF(AND($G41&lt;=S$5,$H41&gt;=S$4),"■","")</f>
        <v>■</v>
      </c>
      <c r="T41" s="11" t="str">
        <f aca="false">IF(AND($G41&lt;=T$5,$H41&gt;=T$4),"■","")</f>
        <v/>
      </c>
      <c r="U41" s="11" t="str">
        <f aca="false">IF(AND($G41&lt;=U$5,$H41&gt;=U$4),"■","")</f>
        <v/>
      </c>
      <c r="V41" s="11" t="str">
        <f aca="false">IF(AND($G41&lt;=V$5,$H41&gt;=V$4),"■","")</f>
        <v/>
      </c>
      <c r="W41" s="11" t="str">
        <f aca="false">IF(AND($G41&lt;=W$5,$H41&gt;=W$4),"■","")</f>
        <v/>
      </c>
      <c r="X41" s="11" t="str">
        <f aca="false">IF(AND($G41&lt;=X$5,$H41&gt;=X$4),"■","")</f>
        <v/>
      </c>
      <c r="Y41" s="11" t="str">
        <f aca="false">IF(AND($G41&lt;=Y$5,$H41&gt;=Y$4),"■","")</f>
        <v/>
      </c>
      <c r="Z41" s="11" t="str">
        <f aca="false">IF(AND($G41&lt;=Z$5,$H41&gt;=Z$4),"■","")</f>
        <v/>
      </c>
      <c r="AA41" s="11" t="str">
        <f aca="false">IF(AND($G41&lt;=AA$5,$H41&gt;=AA$4),"■","")</f>
        <v/>
      </c>
      <c r="AB41" s="11" t="str">
        <f aca="false">IF(AND($G41&lt;=AB$5,$H41&gt;=AB$4),"■","")</f>
        <v/>
      </c>
    </row>
    <row r="42" customFormat="false" ht="23.85" hidden="false" customHeight="false" outlineLevel="0" collapsed="false">
      <c r="A42" s="4" t="s">
        <v>550</v>
      </c>
      <c r="B42" s="4" t="s">
        <v>526</v>
      </c>
      <c r="C42" s="4" t="s">
        <v>551</v>
      </c>
      <c r="D42" s="4" t="s">
        <v>552</v>
      </c>
      <c r="E42" s="4" t="s">
        <v>34</v>
      </c>
      <c r="F42" s="15" t="s">
        <v>414</v>
      </c>
      <c r="G42" s="10" t="n">
        <v>7</v>
      </c>
      <c r="H42" s="10" t="n">
        <v>14</v>
      </c>
      <c r="I42" s="16" t="n">
        <f aca="false">IF(OR(LEFT($B42,2)="P0",$H42&lt;=$G$3),$H42,IF(LEFT($B42,2)="P9",$H42-$E$3+$C$3,ROUND($H42*$C$3/$E$3,0)))</f>
        <v>14</v>
      </c>
      <c r="J42" s="4"/>
      <c r="K42" s="4" t="s">
        <v>491</v>
      </c>
      <c r="L42" s="4" t="s">
        <v>529</v>
      </c>
      <c r="M42" s="4" t="s">
        <v>553</v>
      </c>
      <c r="N42" s="11" t="str">
        <f aca="false">IF(AND($G42&lt;=N$5,$H42&gt;=N$4),"■","")</f>
        <v/>
      </c>
      <c r="O42" s="11" t="str">
        <f aca="false">IF(AND($G42&lt;=O$5,$H42&gt;=O$4),"■","")</f>
        <v/>
      </c>
      <c r="P42" s="11" t="str">
        <f aca="false">IF(AND($G42&lt;=P$5,$H42&gt;=P$4),"■","")</f>
        <v>■</v>
      </c>
      <c r="Q42" s="11" t="str">
        <f aca="false">IF(AND($G42&lt;=Q$5,$H42&gt;=Q$4),"■","")</f>
        <v>■</v>
      </c>
      <c r="R42" s="11" t="str">
        <f aca="false">IF(AND($G42&lt;=R$5,$H42&gt;=R$4),"■","")</f>
        <v/>
      </c>
      <c r="S42" s="11" t="str">
        <f aca="false">IF(AND($G42&lt;=S$5,$H42&gt;=S$4),"■","")</f>
        <v/>
      </c>
      <c r="T42" s="11" t="str">
        <f aca="false">IF(AND($G42&lt;=T$5,$H42&gt;=T$4),"■","")</f>
        <v/>
      </c>
      <c r="U42" s="11" t="str">
        <f aca="false">IF(AND($G42&lt;=U$5,$H42&gt;=U$4),"■","")</f>
        <v/>
      </c>
      <c r="V42" s="11" t="str">
        <f aca="false">IF(AND($G42&lt;=V$5,$H42&gt;=V$4),"■","")</f>
        <v/>
      </c>
      <c r="W42" s="11" t="str">
        <f aca="false">IF(AND($G42&lt;=W$5,$H42&gt;=W$4),"■","")</f>
        <v/>
      </c>
      <c r="X42" s="11" t="str">
        <f aca="false">IF(AND($G42&lt;=X$5,$H42&gt;=X$4),"■","")</f>
        <v/>
      </c>
      <c r="Y42" s="11" t="str">
        <f aca="false">IF(AND($G42&lt;=Y$5,$H42&gt;=Y$4),"■","")</f>
        <v/>
      </c>
      <c r="Z42" s="11" t="str">
        <f aca="false">IF(AND($G42&lt;=Z$5,$H42&gt;=Z$4),"■","")</f>
        <v/>
      </c>
      <c r="AA42" s="11" t="str">
        <f aca="false">IF(AND($G42&lt;=AA$5,$H42&gt;=AA$4),"■","")</f>
        <v/>
      </c>
      <c r="AB42" s="11" t="str">
        <f aca="false">IF(AND($G42&lt;=AB$5,$H42&gt;=AB$4),"■","")</f>
        <v/>
      </c>
    </row>
    <row r="43" customFormat="false" ht="23.85" hidden="false" customHeight="false" outlineLevel="0" collapsed="false">
      <c r="A43" s="4" t="s">
        <v>554</v>
      </c>
      <c r="B43" s="4" t="s">
        <v>526</v>
      </c>
      <c r="C43" s="4" t="s">
        <v>555</v>
      </c>
      <c r="D43" s="4" t="s">
        <v>556</v>
      </c>
      <c r="E43" s="4" t="s">
        <v>34</v>
      </c>
      <c r="F43" s="15" t="s">
        <v>414</v>
      </c>
      <c r="G43" s="10" t="n">
        <v>7</v>
      </c>
      <c r="H43" s="10" t="n">
        <v>18</v>
      </c>
      <c r="I43" s="16" t="n">
        <f aca="false">IF(OR(LEFT($B43,2)="P0",$H43&lt;=$G$3),$H43,IF(LEFT($B43,2)="P9",$H43-$E$3+$C$3,ROUND($H43*$C$3/$E$3,0)))</f>
        <v>18</v>
      </c>
      <c r="J43" s="4"/>
      <c r="K43" s="4" t="s">
        <v>491</v>
      </c>
      <c r="L43" s="4" t="s">
        <v>529</v>
      </c>
      <c r="M43" s="4" t="s">
        <v>553</v>
      </c>
      <c r="N43" s="11" t="str">
        <f aca="false">IF(AND($G43&lt;=N$5,$H43&gt;=N$4),"■","")</f>
        <v/>
      </c>
      <c r="O43" s="11" t="str">
        <f aca="false">IF(AND($G43&lt;=O$5,$H43&gt;=O$4),"■","")</f>
        <v/>
      </c>
      <c r="P43" s="11" t="str">
        <f aca="false">IF(AND($G43&lt;=P$5,$H43&gt;=P$4),"■","")</f>
        <v>■</v>
      </c>
      <c r="Q43" s="11" t="str">
        <f aca="false">IF(AND($G43&lt;=Q$5,$H43&gt;=Q$4),"■","")</f>
        <v>■</v>
      </c>
      <c r="R43" s="11" t="str">
        <f aca="false">IF(AND($G43&lt;=R$5,$H43&gt;=R$4),"■","")</f>
        <v/>
      </c>
      <c r="S43" s="11" t="str">
        <f aca="false">IF(AND($G43&lt;=S$5,$H43&gt;=S$4),"■","")</f>
        <v/>
      </c>
      <c r="T43" s="11" t="str">
        <f aca="false">IF(AND($G43&lt;=T$5,$H43&gt;=T$4),"■","")</f>
        <v/>
      </c>
      <c r="U43" s="11" t="str">
        <f aca="false">IF(AND($G43&lt;=U$5,$H43&gt;=U$4),"■","")</f>
        <v/>
      </c>
      <c r="V43" s="11" t="str">
        <f aca="false">IF(AND($G43&lt;=V$5,$H43&gt;=V$4),"■","")</f>
        <v/>
      </c>
      <c r="W43" s="11" t="str">
        <f aca="false">IF(AND($G43&lt;=W$5,$H43&gt;=W$4),"■","")</f>
        <v/>
      </c>
      <c r="X43" s="11" t="str">
        <f aca="false">IF(AND($G43&lt;=X$5,$H43&gt;=X$4),"■","")</f>
        <v/>
      </c>
      <c r="Y43" s="11" t="str">
        <f aca="false">IF(AND($G43&lt;=Y$5,$H43&gt;=Y$4),"■","")</f>
        <v/>
      </c>
      <c r="Z43" s="11" t="str">
        <f aca="false">IF(AND($G43&lt;=Z$5,$H43&gt;=Z$4),"■","")</f>
        <v/>
      </c>
      <c r="AA43" s="11" t="str">
        <f aca="false">IF(AND($G43&lt;=AA$5,$H43&gt;=AA$4),"■","")</f>
        <v/>
      </c>
      <c r="AB43" s="11" t="str">
        <f aca="false">IF(AND($G43&lt;=AB$5,$H43&gt;=AB$4),"■","")</f>
        <v/>
      </c>
    </row>
    <row r="44" customFormat="false" ht="23.85" hidden="false" customHeight="false" outlineLevel="0" collapsed="false">
      <c r="A44" s="4" t="s">
        <v>557</v>
      </c>
      <c r="B44" s="4" t="s">
        <v>526</v>
      </c>
      <c r="C44" s="4" t="s">
        <v>558</v>
      </c>
      <c r="D44" s="4" t="s">
        <v>559</v>
      </c>
      <c r="E44" s="4" t="s">
        <v>34</v>
      </c>
      <c r="F44" s="15" t="s">
        <v>414</v>
      </c>
      <c r="G44" s="10" t="n">
        <v>10</v>
      </c>
      <c r="H44" s="10" t="n">
        <v>18</v>
      </c>
      <c r="I44" s="16" t="n">
        <f aca="false">IF(OR(LEFT($B44,2)="P0",$H44&lt;=$G$3),$H44,IF(LEFT($B44,2)="P9",$H44-$E$3+$C$3,ROUND($H44*$C$3/$E$3,0)))</f>
        <v>18</v>
      </c>
      <c r="J44" s="4"/>
      <c r="K44" s="4" t="s">
        <v>494</v>
      </c>
      <c r="L44" s="4" t="s">
        <v>529</v>
      </c>
      <c r="M44" s="4" t="s">
        <v>553</v>
      </c>
      <c r="N44" s="11" t="str">
        <f aca="false">IF(AND($G44&lt;=N$5,$H44&gt;=N$4),"■","")</f>
        <v/>
      </c>
      <c r="O44" s="11" t="str">
        <f aca="false">IF(AND($G44&lt;=O$5,$H44&gt;=O$4),"■","")</f>
        <v/>
      </c>
      <c r="P44" s="11" t="str">
        <f aca="false">IF(AND($G44&lt;=P$5,$H44&gt;=P$4),"■","")</f>
        <v>■</v>
      </c>
      <c r="Q44" s="11" t="str">
        <f aca="false">IF(AND($G44&lt;=Q$5,$H44&gt;=Q$4),"■","")</f>
        <v>■</v>
      </c>
      <c r="R44" s="11" t="str">
        <f aca="false">IF(AND($G44&lt;=R$5,$H44&gt;=R$4),"■","")</f>
        <v/>
      </c>
      <c r="S44" s="11" t="str">
        <f aca="false">IF(AND($G44&lt;=S$5,$H44&gt;=S$4),"■","")</f>
        <v/>
      </c>
      <c r="T44" s="11" t="str">
        <f aca="false">IF(AND($G44&lt;=T$5,$H44&gt;=T$4),"■","")</f>
        <v/>
      </c>
      <c r="U44" s="11" t="str">
        <f aca="false">IF(AND($G44&lt;=U$5,$H44&gt;=U$4),"■","")</f>
        <v/>
      </c>
      <c r="V44" s="11" t="str">
        <f aca="false">IF(AND($G44&lt;=V$5,$H44&gt;=V$4),"■","")</f>
        <v/>
      </c>
      <c r="W44" s="11" t="str">
        <f aca="false">IF(AND($G44&lt;=W$5,$H44&gt;=W$4),"■","")</f>
        <v/>
      </c>
      <c r="X44" s="11" t="str">
        <f aca="false">IF(AND($G44&lt;=X$5,$H44&gt;=X$4),"■","")</f>
        <v/>
      </c>
      <c r="Y44" s="11" t="str">
        <f aca="false">IF(AND($G44&lt;=Y$5,$H44&gt;=Y$4),"■","")</f>
        <v/>
      </c>
      <c r="Z44" s="11" t="str">
        <f aca="false">IF(AND($G44&lt;=Z$5,$H44&gt;=Z$4),"■","")</f>
        <v/>
      </c>
      <c r="AA44" s="11" t="str">
        <f aca="false">IF(AND($G44&lt;=AA$5,$H44&gt;=AA$4),"■","")</f>
        <v/>
      </c>
      <c r="AB44" s="11" t="str">
        <f aca="false">IF(AND($G44&lt;=AB$5,$H44&gt;=AB$4),"■","")</f>
        <v/>
      </c>
    </row>
    <row r="45" customFormat="false" ht="23.85" hidden="false" customHeight="false" outlineLevel="0" collapsed="false">
      <c r="A45" s="4" t="s">
        <v>560</v>
      </c>
      <c r="B45" s="4" t="s">
        <v>526</v>
      </c>
      <c r="C45" s="4" t="s">
        <v>561</v>
      </c>
      <c r="D45" s="4" t="s">
        <v>562</v>
      </c>
      <c r="E45" s="4" t="s">
        <v>34</v>
      </c>
      <c r="F45" s="15" t="s">
        <v>414</v>
      </c>
      <c r="G45" s="10" t="n">
        <v>8</v>
      </c>
      <c r="H45" s="10" t="n">
        <v>16</v>
      </c>
      <c r="I45" s="16" t="n">
        <f aca="false">IF(OR(LEFT($B45,2)="P0",$H45&lt;=$G$3),$H45,IF(LEFT($B45,2)="P9",$H45-$E$3+$C$3,ROUND($H45*$C$3/$E$3,0)))</f>
        <v>16</v>
      </c>
      <c r="J45" s="4"/>
      <c r="K45" s="4" t="s">
        <v>491</v>
      </c>
      <c r="L45" s="4" t="s">
        <v>529</v>
      </c>
      <c r="M45" s="4" t="s">
        <v>553</v>
      </c>
      <c r="N45" s="11" t="str">
        <f aca="false">IF(AND($G45&lt;=N$5,$H45&gt;=N$4),"■","")</f>
        <v/>
      </c>
      <c r="O45" s="11" t="str">
        <f aca="false">IF(AND($G45&lt;=O$5,$H45&gt;=O$4),"■","")</f>
        <v/>
      </c>
      <c r="P45" s="11" t="str">
        <f aca="false">IF(AND($G45&lt;=P$5,$H45&gt;=P$4),"■","")</f>
        <v>■</v>
      </c>
      <c r="Q45" s="11" t="str">
        <f aca="false">IF(AND($G45&lt;=Q$5,$H45&gt;=Q$4),"■","")</f>
        <v>■</v>
      </c>
      <c r="R45" s="11" t="str">
        <f aca="false">IF(AND($G45&lt;=R$5,$H45&gt;=R$4),"■","")</f>
        <v/>
      </c>
      <c r="S45" s="11" t="str">
        <f aca="false">IF(AND($G45&lt;=S$5,$H45&gt;=S$4),"■","")</f>
        <v/>
      </c>
      <c r="T45" s="11" t="str">
        <f aca="false">IF(AND($G45&lt;=T$5,$H45&gt;=T$4),"■","")</f>
        <v/>
      </c>
      <c r="U45" s="11" t="str">
        <f aca="false">IF(AND($G45&lt;=U$5,$H45&gt;=U$4),"■","")</f>
        <v/>
      </c>
      <c r="V45" s="11" t="str">
        <f aca="false">IF(AND($G45&lt;=V$5,$H45&gt;=V$4),"■","")</f>
        <v/>
      </c>
      <c r="W45" s="11" t="str">
        <f aca="false">IF(AND($G45&lt;=W$5,$H45&gt;=W$4),"■","")</f>
        <v/>
      </c>
      <c r="X45" s="11" t="str">
        <f aca="false">IF(AND($G45&lt;=X$5,$H45&gt;=X$4),"■","")</f>
        <v/>
      </c>
      <c r="Y45" s="11" t="str">
        <f aca="false">IF(AND($G45&lt;=Y$5,$H45&gt;=Y$4),"■","")</f>
        <v/>
      </c>
      <c r="Z45" s="11" t="str">
        <f aca="false">IF(AND($G45&lt;=Z$5,$H45&gt;=Z$4),"■","")</f>
        <v/>
      </c>
      <c r="AA45" s="11" t="str">
        <f aca="false">IF(AND($G45&lt;=AA$5,$H45&gt;=AA$4),"■","")</f>
        <v/>
      </c>
      <c r="AB45" s="11" t="str">
        <f aca="false">IF(AND($G45&lt;=AB$5,$H45&gt;=AB$4),"■","")</f>
        <v/>
      </c>
    </row>
    <row r="46" customFormat="false" ht="23.85" hidden="false" customHeight="false" outlineLevel="0" collapsed="false">
      <c r="A46" s="4" t="s">
        <v>563</v>
      </c>
      <c r="B46" s="4" t="s">
        <v>526</v>
      </c>
      <c r="C46" s="4" t="s">
        <v>564</v>
      </c>
      <c r="D46" s="4" t="s">
        <v>565</v>
      </c>
      <c r="E46" s="4" t="s">
        <v>34</v>
      </c>
      <c r="F46" s="15" t="s">
        <v>414</v>
      </c>
      <c r="G46" s="10" t="n">
        <v>14</v>
      </c>
      <c r="H46" s="10" t="n">
        <v>28</v>
      </c>
      <c r="I46" s="16" t="n">
        <f aca="false">IF(OR(LEFT($B46,2)="P0",$H46&lt;=$G$3),$H46,IF(LEFT($B46,2)="P9",$H46-$E$3+$C$3,ROUND($H46*$C$3/$E$3,0)))</f>
        <v>28</v>
      </c>
      <c r="J46" s="4"/>
      <c r="K46" s="4" t="s">
        <v>550</v>
      </c>
      <c r="L46" s="4" t="s">
        <v>529</v>
      </c>
      <c r="M46" s="4" t="s">
        <v>553</v>
      </c>
      <c r="N46" s="11" t="str">
        <f aca="false">IF(AND($G46&lt;=N$5,$H46&gt;=N$4),"■","")</f>
        <v/>
      </c>
      <c r="O46" s="11" t="str">
        <f aca="false">IF(AND($G46&lt;=O$5,$H46&gt;=O$4),"■","")</f>
        <v/>
      </c>
      <c r="P46" s="11" t="str">
        <f aca="false">IF(AND($G46&lt;=P$5,$H46&gt;=P$4),"■","")</f>
        <v/>
      </c>
      <c r="Q46" s="11" t="str">
        <f aca="false">IF(AND($G46&lt;=Q$5,$H46&gt;=Q$4),"■","")</f>
        <v>■</v>
      </c>
      <c r="R46" s="11" t="str">
        <f aca="false">IF(AND($G46&lt;=R$5,$H46&gt;=R$4),"■","")</f>
        <v>■</v>
      </c>
      <c r="S46" s="11" t="str">
        <f aca="false">IF(AND($G46&lt;=S$5,$H46&gt;=S$4),"■","")</f>
        <v>■</v>
      </c>
      <c r="T46" s="11" t="str">
        <f aca="false">IF(AND($G46&lt;=T$5,$H46&gt;=T$4),"■","")</f>
        <v/>
      </c>
      <c r="U46" s="11" t="str">
        <f aca="false">IF(AND($G46&lt;=U$5,$H46&gt;=U$4),"■","")</f>
        <v/>
      </c>
      <c r="V46" s="11" t="str">
        <f aca="false">IF(AND($G46&lt;=V$5,$H46&gt;=V$4),"■","")</f>
        <v/>
      </c>
      <c r="W46" s="11" t="str">
        <f aca="false">IF(AND($G46&lt;=W$5,$H46&gt;=W$4),"■","")</f>
        <v/>
      </c>
      <c r="X46" s="11" t="str">
        <f aca="false">IF(AND($G46&lt;=X$5,$H46&gt;=X$4),"■","")</f>
        <v/>
      </c>
      <c r="Y46" s="11" t="str">
        <f aca="false">IF(AND($G46&lt;=Y$5,$H46&gt;=Y$4),"■","")</f>
        <v/>
      </c>
      <c r="Z46" s="11" t="str">
        <f aca="false">IF(AND($G46&lt;=Z$5,$H46&gt;=Z$4),"■","")</f>
        <v/>
      </c>
      <c r="AA46" s="11" t="str">
        <f aca="false">IF(AND($G46&lt;=AA$5,$H46&gt;=AA$4),"■","")</f>
        <v/>
      </c>
      <c r="AB46" s="11" t="str">
        <f aca="false">IF(AND($G46&lt;=AB$5,$H46&gt;=AB$4),"■","")</f>
        <v/>
      </c>
    </row>
    <row r="47" customFormat="false" ht="23.85" hidden="false" customHeight="false" outlineLevel="0" collapsed="false">
      <c r="A47" s="4" t="s">
        <v>566</v>
      </c>
      <c r="B47" s="4" t="s">
        <v>526</v>
      </c>
      <c r="C47" s="4" t="s">
        <v>567</v>
      </c>
      <c r="D47" s="4" t="s">
        <v>568</v>
      </c>
      <c r="E47" s="4" t="s">
        <v>34</v>
      </c>
      <c r="F47" s="15" t="s">
        <v>414</v>
      </c>
      <c r="G47" s="10" t="n">
        <v>7</v>
      </c>
      <c r="H47" s="10" t="n">
        <v>12</v>
      </c>
      <c r="I47" s="16" t="n">
        <f aca="false">IF(OR(LEFT($B47,2)="P0",$H47&lt;=$G$3),$H47,IF(LEFT($B47,2)="P9",$H47-$E$3+$C$3,ROUND($H47*$C$3/$E$3,0)))</f>
        <v>12</v>
      </c>
      <c r="J47" s="4"/>
      <c r="K47" s="4" t="s">
        <v>482</v>
      </c>
      <c r="L47" s="4" t="s">
        <v>529</v>
      </c>
      <c r="M47" s="4" t="s">
        <v>569</v>
      </c>
      <c r="N47" s="11" t="str">
        <f aca="false">IF(AND($G47&lt;=N$5,$H47&gt;=N$4),"■","")</f>
        <v/>
      </c>
      <c r="O47" s="11" t="str">
        <f aca="false">IF(AND($G47&lt;=O$5,$H47&gt;=O$4),"■","")</f>
        <v/>
      </c>
      <c r="P47" s="11" t="str">
        <f aca="false">IF(AND($G47&lt;=P$5,$H47&gt;=P$4),"■","")</f>
        <v>■</v>
      </c>
      <c r="Q47" s="11" t="str">
        <f aca="false">IF(AND($G47&lt;=Q$5,$H47&gt;=Q$4),"■","")</f>
        <v/>
      </c>
      <c r="R47" s="11" t="str">
        <f aca="false">IF(AND($G47&lt;=R$5,$H47&gt;=R$4),"■","")</f>
        <v/>
      </c>
      <c r="S47" s="11" t="str">
        <f aca="false">IF(AND($G47&lt;=S$5,$H47&gt;=S$4),"■","")</f>
        <v/>
      </c>
      <c r="T47" s="11" t="str">
        <f aca="false">IF(AND($G47&lt;=T$5,$H47&gt;=T$4),"■","")</f>
        <v/>
      </c>
      <c r="U47" s="11" t="str">
        <f aca="false">IF(AND($G47&lt;=U$5,$H47&gt;=U$4),"■","")</f>
        <v/>
      </c>
      <c r="V47" s="11" t="str">
        <f aca="false">IF(AND($G47&lt;=V$5,$H47&gt;=V$4),"■","")</f>
        <v/>
      </c>
      <c r="W47" s="11" t="str">
        <f aca="false">IF(AND($G47&lt;=W$5,$H47&gt;=W$4),"■","")</f>
        <v/>
      </c>
      <c r="X47" s="11" t="str">
        <f aca="false">IF(AND($G47&lt;=X$5,$H47&gt;=X$4),"■","")</f>
        <v/>
      </c>
      <c r="Y47" s="11" t="str">
        <f aca="false">IF(AND($G47&lt;=Y$5,$H47&gt;=Y$4),"■","")</f>
        <v/>
      </c>
      <c r="Z47" s="11" t="str">
        <f aca="false">IF(AND($G47&lt;=Z$5,$H47&gt;=Z$4),"■","")</f>
        <v/>
      </c>
      <c r="AA47" s="11" t="str">
        <f aca="false">IF(AND($G47&lt;=AA$5,$H47&gt;=AA$4),"■","")</f>
        <v/>
      </c>
      <c r="AB47" s="11" t="str">
        <f aca="false">IF(AND($G47&lt;=AB$5,$H47&gt;=AB$4),"■","")</f>
        <v/>
      </c>
    </row>
    <row r="48" customFormat="false" ht="23.85" hidden="false" customHeight="false" outlineLevel="0" collapsed="false">
      <c r="A48" s="4" t="s">
        <v>570</v>
      </c>
      <c r="B48" s="4" t="s">
        <v>526</v>
      </c>
      <c r="C48" s="4" t="s">
        <v>571</v>
      </c>
      <c r="D48" s="4" t="s">
        <v>572</v>
      </c>
      <c r="E48" s="4" t="s">
        <v>34</v>
      </c>
      <c r="F48" s="15" t="s">
        <v>428</v>
      </c>
      <c r="G48" s="10" t="n">
        <v>8</v>
      </c>
      <c r="H48" s="10" t="n">
        <v>18</v>
      </c>
      <c r="I48" s="16" t="n">
        <f aca="false">IF(OR(LEFT($B48,2)="P0",$H48&lt;=$G$3),$H48,IF(LEFT($B48,2)="P9",$H48-$E$3+$C$3,ROUND($H48*$C$3/$E$3,0)))</f>
        <v>18</v>
      </c>
      <c r="J48" s="4"/>
      <c r="K48" s="4" t="s">
        <v>501</v>
      </c>
      <c r="L48" s="4" t="s">
        <v>529</v>
      </c>
      <c r="M48" s="4" t="s">
        <v>569</v>
      </c>
      <c r="N48" s="11" t="str">
        <f aca="false">IF(AND($G48&lt;=N$5,$H48&gt;=N$4),"■","")</f>
        <v/>
      </c>
      <c r="O48" s="11" t="str">
        <f aca="false">IF(AND($G48&lt;=O$5,$H48&gt;=O$4),"■","")</f>
        <v/>
      </c>
      <c r="P48" s="11" t="str">
        <f aca="false">IF(AND($G48&lt;=P$5,$H48&gt;=P$4),"■","")</f>
        <v>■</v>
      </c>
      <c r="Q48" s="11" t="str">
        <f aca="false">IF(AND($G48&lt;=Q$5,$H48&gt;=Q$4),"■","")</f>
        <v>■</v>
      </c>
      <c r="R48" s="11" t="str">
        <f aca="false">IF(AND($G48&lt;=R$5,$H48&gt;=R$4),"■","")</f>
        <v/>
      </c>
      <c r="S48" s="11" t="str">
        <f aca="false">IF(AND($G48&lt;=S$5,$H48&gt;=S$4),"■","")</f>
        <v/>
      </c>
      <c r="T48" s="11" t="str">
        <f aca="false">IF(AND($G48&lt;=T$5,$H48&gt;=T$4),"■","")</f>
        <v/>
      </c>
      <c r="U48" s="11" t="str">
        <f aca="false">IF(AND($G48&lt;=U$5,$H48&gt;=U$4),"■","")</f>
        <v/>
      </c>
      <c r="V48" s="11" t="str">
        <f aca="false">IF(AND($G48&lt;=V$5,$H48&gt;=V$4),"■","")</f>
        <v/>
      </c>
      <c r="W48" s="11" t="str">
        <f aca="false">IF(AND($G48&lt;=W$5,$H48&gt;=W$4),"■","")</f>
        <v/>
      </c>
      <c r="X48" s="11" t="str">
        <f aca="false">IF(AND($G48&lt;=X$5,$H48&gt;=X$4),"■","")</f>
        <v/>
      </c>
      <c r="Y48" s="11" t="str">
        <f aca="false">IF(AND($G48&lt;=Y$5,$H48&gt;=Y$4),"■","")</f>
        <v/>
      </c>
      <c r="Z48" s="11" t="str">
        <f aca="false">IF(AND($G48&lt;=Z$5,$H48&gt;=Z$4),"■","")</f>
        <v/>
      </c>
      <c r="AA48" s="11" t="str">
        <f aca="false">IF(AND($G48&lt;=AA$5,$H48&gt;=AA$4),"■","")</f>
        <v/>
      </c>
      <c r="AB48" s="11" t="str">
        <f aca="false">IF(AND($G48&lt;=AB$5,$H48&gt;=AB$4),"■","")</f>
        <v/>
      </c>
    </row>
    <row r="49" customFormat="false" ht="23.85" hidden="false" customHeight="false" outlineLevel="0" collapsed="false">
      <c r="A49" s="4" t="s">
        <v>573</v>
      </c>
      <c r="B49" s="4" t="s">
        <v>526</v>
      </c>
      <c r="C49" s="4" t="s">
        <v>574</v>
      </c>
      <c r="D49" s="4" t="s">
        <v>575</v>
      </c>
      <c r="E49" s="4" t="s">
        <v>34</v>
      </c>
      <c r="F49" s="15" t="s">
        <v>428</v>
      </c>
      <c r="G49" s="10" t="n">
        <v>10</v>
      </c>
      <c r="H49" s="10" t="n">
        <v>21</v>
      </c>
      <c r="I49" s="16" t="n">
        <f aca="false">IF(OR(LEFT($B49,2)="P0",$H49&lt;=$G$3),$H49,IF(LEFT($B49,2)="P9",$H49-$E$3+$C$3,ROUND($H49*$C$3/$E$3,0)))</f>
        <v>21</v>
      </c>
      <c r="J49" s="4"/>
      <c r="K49" s="4" t="s">
        <v>530</v>
      </c>
      <c r="L49" s="4" t="s">
        <v>529</v>
      </c>
      <c r="M49" s="4" t="s">
        <v>569</v>
      </c>
      <c r="N49" s="11" t="str">
        <f aca="false">IF(AND($G49&lt;=N$5,$H49&gt;=N$4),"■","")</f>
        <v/>
      </c>
      <c r="O49" s="11" t="str">
        <f aca="false">IF(AND($G49&lt;=O$5,$H49&gt;=O$4),"■","")</f>
        <v/>
      </c>
      <c r="P49" s="11" t="str">
        <f aca="false">IF(AND($G49&lt;=P$5,$H49&gt;=P$4),"■","")</f>
        <v>■</v>
      </c>
      <c r="Q49" s="11" t="str">
        <f aca="false">IF(AND($G49&lt;=Q$5,$H49&gt;=Q$4),"■","")</f>
        <v>■</v>
      </c>
      <c r="R49" s="11" t="str">
        <f aca="false">IF(AND($G49&lt;=R$5,$H49&gt;=R$4),"■","")</f>
        <v>■</v>
      </c>
      <c r="S49" s="11" t="str">
        <f aca="false">IF(AND($G49&lt;=S$5,$H49&gt;=S$4),"■","")</f>
        <v/>
      </c>
      <c r="T49" s="11" t="str">
        <f aca="false">IF(AND($G49&lt;=T$5,$H49&gt;=T$4),"■","")</f>
        <v/>
      </c>
      <c r="U49" s="11" t="str">
        <f aca="false">IF(AND($G49&lt;=U$5,$H49&gt;=U$4),"■","")</f>
        <v/>
      </c>
      <c r="V49" s="11" t="str">
        <f aca="false">IF(AND($G49&lt;=V$5,$H49&gt;=V$4),"■","")</f>
        <v/>
      </c>
      <c r="W49" s="11" t="str">
        <f aca="false">IF(AND($G49&lt;=W$5,$H49&gt;=W$4),"■","")</f>
        <v/>
      </c>
      <c r="X49" s="11" t="str">
        <f aca="false">IF(AND($G49&lt;=X$5,$H49&gt;=X$4),"■","")</f>
        <v/>
      </c>
      <c r="Y49" s="11" t="str">
        <f aca="false">IF(AND($G49&lt;=Y$5,$H49&gt;=Y$4),"■","")</f>
        <v/>
      </c>
      <c r="Z49" s="11" t="str">
        <f aca="false">IF(AND($G49&lt;=Z$5,$H49&gt;=Z$4),"■","")</f>
        <v/>
      </c>
      <c r="AA49" s="11" t="str">
        <f aca="false">IF(AND($G49&lt;=AA$5,$H49&gt;=AA$4),"■","")</f>
        <v/>
      </c>
      <c r="AB49" s="11" t="str">
        <f aca="false">IF(AND($G49&lt;=AB$5,$H49&gt;=AB$4),"■","")</f>
        <v/>
      </c>
    </row>
    <row r="50" customFormat="false" ht="23.85" hidden="false" customHeight="false" outlineLevel="0" collapsed="false">
      <c r="A50" s="4" t="s">
        <v>576</v>
      </c>
      <c r="B50" s="4" t="s">
        <v>526</v>
      </c>
      <c r="C50" s="4" t="s">
        <v>577</v>
      </c>
      <c r="D50" s="4" t="s">
        <v>578</v>
      </c>
      <c r="E50" s="4" t="s">
        <v>34</v>
      </c>
      <c r="F50" s="15" t="s">
        <v>414</v>
      </c>
      <c r="G50" s="10" t="n">
        <v>14</v>
      </c>
      <c r="H50" s="10" t="n">
        <v>25</v>
      </c>
      <c r="I50" s="16" t="n">
        <f aca="false">IF(OR(LEFT($B50,2)="P0",$H50&lt;=$G$3),$H50,IF(LEFT($B50,2)="P9",$H50-$E$3+$C$3,ROUND($H50*$C$3/$E$3,0)))</f>
        <v>25</v>
      </c>
      <c r="J50" s="4"/>
      <c r="K50" s="4" t="s">
        <v>570</v>
      </c>
      <c r="L50" s="4" t="s">
        <v>529</v>
      </c>
      <c r="M50" s="4" t="s">
        <v>569</v>
      </c>
      <c r="N50" s="11" t="str">
        <f aca="false">IF(AND($G50&lt;=N$5,$H50&gt;=N$4),"■","")</f>
        <v/>
      </c>
      <c r="O50" s="11" t="str">
        <f aca="false">IF(AND($G50&lt;=O$5,$H50&gt;=O$4),"■","")</f>
        <v/>
      </c>
      <c r="P50" s="11" t="str">
        <f aca="false">IF(AND($G50&lt;=P$5,$H50&gt;=P$4),"■","")</f>
        <v/>
      </c>
      <c r="Q50" s="11" t="str">
        <f aca="false">IF(AND($G50&lt;=Q$5,$H50&gt;=Q$4),"■","")</f>
        <v>■</v>
      </c>
      <c r="R50" s="11" t="str">
        <f aca="false">IF(AND($G50&lt;=R$5,$H50&gt;=R$4),"■","")</f>
        <v>■</v>
      </c>
      <c r="S50" s="11" t="str">
        <f aca="false">IF(AND($G50&lt;=S$5,$H50&gt;=S$4),"■","")</f>
        <v/>
      </c>
      <c r="T50" s="11" t="str">
        <f aca="false">IF(AND($G50&lt;=T$5,$H50&gt;=T$4),"■","")</f>
        <v/>
      </c>
      <c r="U50" s="11" t="str">
        <f aca="false">IF(AND($G50&lt;=U$5,$H50&gt;=U$4),"■","")</f>
        <v/>
      </c>
      <c r="V50" s="11" t="str">
        <f aca="false">IF(AND($G50&lt;=V$5,$H50&gt;=V$4),"■","")</f>
        <v/>
      </c>
      <c r="W50" s="11" t="str">
        <f aca="false">IF(AND($G50&lt;=W$5,$H50&gt;=W$4),"■","")</f>
        <v/>
      </c>
      <c r="X50" s="11" t="str">
        <f aca="false">IF(AND($G50&lt;=X$5,$H50&gt;=X$4),"■","")</f>
        <v/>
      </c>
      <c r="Y50" s="11" t="str">
        <f aca="false">IF(AND($G50&lt;=Y$5,$H50&gt;=Y$4),"■","")</f>
        <v/>
      </c>
      <c r="Z50" s="11" t="str">
        <f aca="false">IF(AND($G50&lt;=Z$5,$H50&gt;=Z$4),"■","")</f>
        <v/>
      </c>
      <c r="AA50" s="11" t="str">
        <f aca="false">IF(AND($G50&lt;=AA$5,$H50&gt;=AA$4),"■","")</f>
        <v/>
      </c>
      <c r="AB50" s="11" t="str">
        <f aca="false">IF(AND($G50&lt;=AB$5,$H50&gt;=AB$4),"■","")</f>
        <v/>
      </c>
    </row>
    <row r="51" customFormat="false" ht="35.05" hidden="false" customHeight="false" outlineLevel="0" collapsed="false">
      <c r="A51" s="4" t="s">
        <v>579</v>
      </c>
      <c r="B51" s="4" t="s">
        <v>526</v>
      </c>
      <c r="C51" s="4" t="s">
        <v>580</v>
      </c>
      <c r="D51" s="4" t="s">
        <v>581</v>
      </c>
      <c r="E51" s="4" t="s">
        <v>34</v>
      </c>
      <c r="F51" s="15" t="s">
        <v>428</v>
      </c>
      <c r="G51" s="10" t="n">
        <v>10</v>
      </c>
      <c r="H51" s="10" t="n">
        <v>25</v>
      </c>
      <c r="I51" s="16" t="n">
        <f aca="false">IF(OR(LEFT($B51,2)="P0",$H51&lt;=$G$3),$H51,IF(LEFT($B51,2)="P9",$H51-$E$3+$C$3,ROUND($H51*$C$3/$E$3,0)))</f>
        <v>25</v>
      </c>
      <c r="J51" s="4"/>
      <c r="K51" s="4" t="s">
        <v>491</v>
      </c>
      <c r="L51" s="4" t="s">
        <v>529</v>
      </c>
      <c r="M51" s="4" t="s">
        <v>569</v>
      </c>
      <c r="N51" s="11" t="str">
        <f aca="false">IF(AND($G51&lt;=N$5,$H51&gt;=N$4),"■","")</f>
        <v/>
      </c>
      <c r="O51" s="11" t="str">
        <f aca="false">IF(AND($G51&lt;=O$5,$H51&gt;=O$4),"■","")</f>
        <v/>
      </c>
      <c r="P51" s="11" t="str">
        <f aca="false">IF(AND($G51&lt;=P$5,$H51&gt;=P$4),"■","")</f>
        <v>■</v>
      </c>
      <c r="Q51" s="11" t="str">
        <f aca="false">IF(AND($G51&lt;=Q$5,$H51&gt;=Q$4),"■","")</f>
        <v>■</v>
      </c>
      <c r="R51" s="11" t="str">
        <f aca="false">IF(AND($G51&lt;=R$5,$H51&gt;=R$4),"■","")</f>
        <v>■</v>
      </c>
      <c r="S51" s="11" t="str">
        <f aca="false">IF(AND($G51&lt;=S$5,$H51&gt;=S$4),"■","")</f>
        <v/>
      </c>
      <c r="T51" s="11" t="str">
        <f aca="false">IF(AND($G51&lt;=T$5,$H51&gt;=T$4),"■","")</f>
        <v/>
      </c>
      <c r="U51" s="11" t="str">
        <f aca="false">IF(AND($G51&lt;=U$5,$H51&gt;=U$4),"■","")</f>
        <v/>
      </c>
      <c r="V51" s="11" t="str">
        <f aca="false">IF(AND($G51&lt;=V$5,$H51&gt;=V$4),"■","")</f>
        <v/>
      </c>
      <c r="W51" s="11" t="str">
        <f aca="false">IF(AND($G51&lt;=W$5,$H51&gt;=W$4),"■","")</f>
        <v/>
      </c>
      <c r="X51" s="11" t="str">
        <f aca="false">IF(AND($G51&lt;=X$5,$H51&gt;=X$4),"■","")</f>
        <v/>
      </c>
      <c r="Y51" s="11" t="str">
        <f aca="false">IF(AND($G51&lt;=Y$5,$H51&gt;=Y$4),"■","")</f>
        <v/>
      </c>
      <c r="Z51" s="11" t="str">
        <f aca="false">IF(AND($G51&lt;=Z$5,$H51&gt;=Z$4),"■","")</f>
        <v/>
      </c>
      <c r="AA51" s="11" t="str">
        <f aca="false">IF(AND($G51&lt;=AA$5,$H51&gt;=AA$4),"■","")</f>
        <v/>
      </c>
      <c r="AB51" s="11" t="str">
        <f aca="false">IF(AND($G51&lt;=AB$5,$H51&gt;=AB$4),"■","")</f>
        <v/>
      </c>
    </row>
    <row r="52" customFormat="false" ht="23.85" hidden="false" customHeight="false" outlineLevel="0" collapsed="false">
      <c r="A52" s="4" t="s">
        <v>582</v>
      </c>
      <c r="B52" s="4" t="s">
        <v>526</v>
      </c>
      <c r="C52" s="4" t="s">
        <v>583</v>
      </c>
      <c r="D52" s="4" t="s">
        <v>584</v>
      </c>
      <c r="E52" s="4" t="s">
        <v>34</v>
      </c>
      <c r="F52" s="15" t="s">
        <v>414</v>
      </c>
      <c r="G52" s="10" t="n">
        <v>14</v>
      </c>
      <c r="H52" s="10" t="n">
        <v>28</v>
      </c>
      <c r="I52" s="16" t="n">
        <f aca="false">IF(OR(LEFT($B52,2)="P0",$H52&lt;=$G$3),$H52,IF(LEFT($B52,2)="P9",$H52-$E$3+$C$3,ROUND($H52*$C$3/$E$3,0)))</f>
        <v>28</v>
      </c>
      <c r="J52" s="4"/>
      <c r="K52" s="4" t="s">
        <v>491</v>
      </c>
      <c r="L52" s="4" t="s">
        <v>529</v>
      </c>
      <c r="M52" s="4" t="s">
        <v>569</v>
      </c>
      <c r="N52" s="11" t="str">
        <f aca="false">IF(AND($G52&lt;=N$5,$H52&gt;=N$4),"■","")</f>
        <v/>
      </c>
      <c r="O52" s="11" t="str">
        <f aca="false">IF(AND($G52&lt;=O$5,$H52&gt;=O$4),"■","")</f>
        <v/>
      </c>
      <c r="P52" s="11" t="str">
        <f aca="false">IF(AND($G52&lt;=P$5,$H52&gt;=P$4),"■","")</f>
        <v/>
      </c>
      <c r="Q52" s="11" t="str">
        <f aca="false">IF(AND($G52&lt;=Q$5,$H52&gt;=Q$4),"■","")</f>
        <v>■</v>
      </c>
      <c r="R52" s="11" t="str">
        <f aca="false">IF(AND($G52&lt;=R$5,$H52&gt;=R$4),"■","")</f>
        <v>■</v>
      </c>
      <c r="S52" s="11" t="str">
        <f aca="false">IF(AND($G52&lt;=S$5,$H52&gt;=S$4),"■","")</f>
        <v>■</v>
      </c>
      <c r="T52" s="11" t="str">
        <f aca="false">IF(AND($G52&lt;=T$5,$H52&gt;=T$4),"■","")</f>
        <v/>
      </c>
      <c r="U52" s="11" t="str">
        <f aca="false">IF(AND($G52&lt;=U$5,$H52&gt;=U$4),"■","")</f>
        <v/>
      </c>
      <c r="V52" s="11" t="str">
        <f aca="false">IF(AND($G52&lt;=V$5,$H52&gt;=V$4),"■","")</f>
        <v/>
      </c>
      <c r="W52" s="11" t="str">
        <f aca="false">IF(AND($G52&lt;=W$5,$H52&gt;=W$4),"■","")</f>
        <v/>
      </c>
      <c r="X52" s="11" t="str">
        <f aca="false">IF(AND($G52&lt;=X$5,$H52&gt;=X$4),"■","")</f>
        <v/>
      </c>
      <c r="Y52" s="11" t="str">
        <f aca="false">IF(AND($G52&lt;=Y$5,$H52&gt;=Y$4),"■","")</f>
        <v/>
      </c>
      <c r="Z52" s="11" t="str">
        <f aca="false">IF(AND($G52&lt;=Z$5,$H52&gt;=Z$4),"■","")</f>
        <v/>
      </c>
      <c r="AA52" s="11" t="str">
        <f aca="false">IF(AND($G52&lt;=AA$5,$H52&gt;=AA$4),"■","")</f>
        <v/>
      </c>
      <c r="AB52" s="11" t="str">
        <f aca="false">IF(AND($G52&lt;=AB$5,$H52&gt;=AB$4),"■","")</f>
        <v/>
      </c>
    </row>
    <row r="53" customFormat="false" ht="23.85" hidden="false" customHeight="false" outlineLevel="0" collapsed="false">
      <c r="A53" s="4" t="s">
        <v>585</v>
      </c>
      <c r="B53" s="4" t="s">
        <v>526</v>
      </c>
      <c r="C53" s="4" t="s">
        <v>586</v>
      </c>
      <c r="D53" s="4" t="s">
        <v>587</v>
      </c>
      <c r="E53" s="4" t="s">
        <v>34</v>
      </c>
      <c r="F53" s="15" t="s">
        <v>414</v>
      </c>
      <c r="G53" s="10" t="n">
        <v>7</v>
      </c>
      <c r="H53" s="10" t="n">
        <v>12</v>
      </c>
      <c r="I53" s="16" t="n">
        <f aca="false">IF(OR(LEFT($B53,2)="P0",$H53&lt;=$G$3),$H53,IF(LEFT($B53,2)="P9",$H53-$E$3+$C$3,ROUND($H53*$C$3/$E$3,0)))</f>
        <v>12</v>
      </c>
      <c r="J53" s="4"/>
      <c r="K53" s="4" t="s">
        <v>482</v>
      </c>
      <c r="L53" s="4" t="s">
        <v>529</v>
      </c>
      <c r="M53" s="4" t="s">
        <v>588</v>
      </c>
      <c r="N53" s="11" t="str">
        <f aca="false">IF(AND($G53&lt;=N$5,$H53&gt;=N$4),"■","")</f>
        <v/>
      </c>
      <c r="O53" s="11" t="str">
        <f aca="false">IF(AND($G53&lt;=O$5,$H53&gt;=O$4),"■","")</f>
        <v/>
      </c>
      <c r="P53" s="11" t="str">
        <f aca="false">IF(AND($G53&lt;=P$5,$H53&gt;=P$4),"■","")</f>
        <v>■</v>
      </c>
      <c r="Q53" s="11" t="str">
        <f aca="false">IF(AND($G53&lt;=Q$5,$H53&gt;=Q$4),"■","")</f>
        <v/>
      </c>
      <c r="R53" s="11" t="str">
        <f aca="false">IF(AND($G53&lt;=R$5,$H53&gt;=R$4),"■","")</f>
        <v/>
      </c>
      <c r="S53" s="11" t="str">
        <f aca="false">IF(AND($G53&lt;=S$5,$H53&gt;=S$4),"■","")</f>
        <v/>
      </c>
      <c r="T53" s="11" t="str">
        <f aca="false">IF(AND($G53&lt;=T$5,$H53&gt;=T$4),"■","")</f>
        <v/>
      </c>
      <c r="U53" s="11" t="str">
        <f aca="false">IF(AND($G53&lt;=U$5,$H53&gt;=U$4),"■","")</f>
        <v/>
      </c>
      <c r="V53" s="11" t="str">
        <f aca="false">IF(AND($G53&lt;=V$5,$H53&gt;=V$4),"■","")</f>
        <v/>
      </c>
      <c r="W53" s="11" t="str">
        <f aca="false">IF(AND($G53&lt;=W$5,$H53&gt;=W$4),"■","")</f>
        <v/>
      </c>
      <c r="X53" s="11" t="str">
        <f aca="false">IF(AND($G53&lt;=X$5,$H53&gt;=X$4),"■","")</f>
        <v/>
      </c>
      <c r="Y53" s="11" t="str">
        <f aca="false">IF(AND($G53&lt;=Y$5,$H53&gt;=Y$4),"■","")</f>
        <v/>
      </c>
      <c r="Z53" s="11" t="str">
        <f aca="false">IF(AND($G53&lt;=Z$5,$H53&gt;=Z$4),"■","")</f>
        <v/>
      </c>
      <c r="AA53" s="11" t="str">
        <f aca="false">IF(AND($G53&lt;=AA$5,$H53&gt;=AA$4),"■","")</f>
        <v/>
      </c>
      <c r="AB53" s="11" t="str">
        <f aca="false">IF(AND($G53&lt;=AB$5,$H53&gt;=AB$4),"■","")</f>
        <v/>
      </c>
    </row>
    <row r="54" customFormat="false" ht="23.85" hidden="false" customHeight="false" outlineLevel="0" collapsed="false">
      <c r="A54" s="4" t="s">
        <v>589</v>
      </c>
      <c r="B54" s="4" t="s">
        <v>526</v>
      </c>
      <c r="C54" s="4" t="s">
        <v>590</v>
      </c>
      <c r="D54" s="4" t="s">
        <v>591</v>
      </c>
      <c r="E54" s="4" t="s">
        <v>34</v>
      </c>
      <c r="F54" s="15" t="s">
        <v>428</v>
      </c>
      <c r="G54" s="10" t="n">
        <v>8</v>
      </c>
      <c r="H54" s="10" t="n">
        <v>18</v>
      </c>
      <c r="I54" s="16" t="n">
        <f aca="false">IF(OR(LEFT($B54,2)="P0",$H54&lt;=$G$3),$H54,IF(LEFT($B54,2)="P9",$H54-$E$3+$C$3,ROUND($H54*$C$3/$E$3,0)))</f>
        <v>18</v>
      </c>
      <c r="J54" s="4"/>
      <c r="K54" s="4" t="s">
        <v>491</v>
      </c>
      <c r="L54" s="4" t="s">
        <v>529</v>
      </c>
      <c r="M54" s="4" t="s">
        <v>588</v>
      </c>
      <c r="N54" s="11" t="str">
        <f aca="false">IF(AND($G54&lt;=N$5,$H54&gt;=N$4),"■","")</f>
        <v/>
      </c>
      <c r="O54" s="11" t="str">
        <f aca="false">IF(AND($G54&lt;=O$5,$H54&gt;=O$4),"■","")</f>
        <v/>
      </c>
      <c r="P54" s="11" t="str">
        <f aca="false">IF(AND($G54&lt;=P$5,$H54&gt;=P$4),"■","")</f>
        <v>■</v>
      </c>
      <c r="Q54" s="11" t="str">
        <f aca="false">IF(AND($G54&lt;=Q$5,$H54&gt;=Q$4),"■","")</f>
        <v>■</v>
      </c>
      <c r="R54" s="11" t="str">
        <f aca="false">IF(AND($G54&lt;=R$5,$H54&gt;=R$4),"■","")</f>
        <v/>
      </c>
      <c r="S54" s="11" t="str">
        <f aca="false">IF(AND($G54&lt;=S$5,$H54&gt;=S$4),"■","")</f>
        <v/>
      </c>
      <c r="T54" s="11" t="str">
        <f aca="false">IF(AND($G54&lt;=T$5,$H54&gt;=T$4),"■","")</f>
        <v/>
      </c>
      <c r="U54" s="11" t="str">
        <f aca="false">IF(AND($G54&lt;=U$5,$H54&gt;=U$4),"■","")</f>
        <v/>
      </c>
      <c r="V54" s="11" t="str">
        <f aca="false">IF(AND($G54&lt;=V$5,$H54&gt;=V$4),"■","")</f>
        <v/>
      </c>
      <c r="W54" s="11" t="str">
        <f aca="false">IF(AND($G54&lt;=W$5,$H54&gt;=W$4),"■","")</f>
        <v/>
      </c>
      <c r="X54" s="11" t="str">
        <f aca="false">IF(AND($G54&lt;=X$5,$H54&gt;=X$4),"■","")</f>
        <v/>
      </c>
      <c r="Y54" s="11" t="str">
        <f aca="false">IF(AND($G54&lt;=Y$5,$H54&gt;=Y$4),"■","")</f>
        <v/>
      </c>
      <c r="Z54" s="11" t="str">
        <f aca="false">IF(AND($G54&lt;=Z$5,$H54&gt;=Z$4),"■","")</f>
        <v/>
      </c>
      <c r="AA54" s="11" t="str">
        <f aca="false">IF(AND($G54&lt;=AA$5,$H54&gt;=AA$4),"■","")</f>
        <v/>
      </c>
      <c r="AB54" s="11" t="str">
        <f aca="false">IF(AND($G54&lt;=AB$5,$H54&gt;=AB$4),"■","")</f>
        <v/>
      </c>
    </row>
    <row r="55" customFormat="false" ht="23.85" hidden="false" customHeight="false" outlineLevel="0" collapsed="false">
      <c r="A55" s="4" t="s">
        <v>592</v>
      </c>
      <c r="B55" s="4" t="s">
        <v>526</v>
      </c>
      <c r="C55" s="4" t="s">
        <v>593</v>
      </c>
      <c r="D55" s="4" t="s">
        <v>594</v>
      </c>
      <c r="E55" s="4" t="s">
        <v>34</v>
      </c>
      <c r="F55" s="15" t="s">
        <v>428</v>
      </c>
      <c r="G55" s="10" t="n">
        <v>10</v>
      </c>
      <c r="H55" s="10" t="n">
        <v>21</v>
      </c>
      <c r="I55" s="16" t="n">
        <f aca="false">IF(OR(LEFT($B55,2)="P0",$H55&lt;=$G$3),$H55,IF(LEFT($B55,2)="P9",$H55-$E$3+$C$3,ROUND($H55*$C$3/$E$3,0)))</f>
        <v>21</v>
      </c>
      <c r="J55" s="4"/>
      <c r="K55" s="4" t="s">
        <v>585</v>
      </c>
      <c r="L55" s="4" t="s">
        <v>529</v>
      </c>
      <c r="M55" s="4" t="s">
        <v>588</v>
      </c>
      <c r="N55" s="11" t="str">
        <f aca="false">IF(AND($G55&lt;=N$5,$H55&gt;=N$4),"■","")</f>
        <v/>
      </c>
      <c r="O55" s="11" t="str">
        <f aca="false">IF(AND($G55&lt;=O$5,$H55&gt;=O$4),"■","")</f>
        <v/>
      </c>
      <c r="P55" s="11" t="str">
        <f aca="false">IF(AND($G55&lt;=P$5,$H55&gt;=P$4),"■","")</f>
        <v>■</v>
      </c>
      <c r="Q55" s="11" t="str">
        <f aca="false">IF(AND($G55&lt;=Q$5,$H55&gt;=Q$4),"■","")</f>
        <v>■</v>
      </c>
      <c r="R55" s="11" t="str">
        <f aca="false">IF(AND($G55&lt;=R$5,$H55&gt;=R$4),"■","")</f>
        <v>■</v>
      </c>
      <c r="S55" s="11" t="str">
        <f aca="false">IF(AND($G55&lt;=S$5,$H55&gt;=S$4),"■","")</f>
        <v/>
      </c>
      <c r="T55" s="11" t="str">
        <f aca="false">IF(AND($G55&lt;=T$5,$H55&gt;=T$4),"■","")</f>
        <v/>
      </c>
      <c r="U55" s="11" t="str">
        <f aca="false">IF(AND($G55&lt;=U$5,$H55&gt;=U$4),"■","")</f>
        <v/>
      </c>
      <c r="V55" s="11" t="str">
        <f aca="false">IF(AND($G55&lt;=V$5,$H55&gt;=V$4),"■","")</f>
        <v/>
      </c>
      <c r="W55" s="11" t="str">
        <f aca="false">IF(AND($G55&lt;=W$5,$H55&gt;=W$4),"■","")</f>
        <v/>
      </c>
      <c r="X55" s="11" t="str">
        <f aca="false">IF(AND($G55&lt;=X$5,$H55&gt;=X$4),"■","")</f>
        <v/>
      </c>
      <c r="Y55" s="11" t="str">
        <f aca="false">IF(AND($G55&lt;=Y$5,$H55&gt;=Y$4),"■","")</f>
        <v/>
      </c>
      <c r="Z55" s="11" t="str">
        <f aca="false">IF(AND($G55&lt;=Z$5,$H55&gt;=Z$4),"■","")</f>
        <v/>
      </c>
      <c r="AA55" s="11" t="str">
        <f aca="false">IF(AND($G55&lt;=AA$5,$H55&gt;=AA$4),"■","")</f>
        <v/>
      </c>
      <c r="AB55" s="11" t="str">
        <f aca="false">IF(AND($G55&lt;=AB$5,$H55&gt;=AB$4),"■","")</f>
        <v/>
      </c>
    </row>
    <row r="56" customFormat="false" ht="23.85" hidden="false" customHeight="false" outlineLevel="0" collapsed="false">
      <c r="A56" s="4" t="s">
        <v>595</v>
      </c>
      <c r="B56" s="4" t="s">
        <v>526</v>
      </c>
      <c r="C56" s="4" t="s">
        <v>596</v>
      </c>
      <c r="D56" s="4" t="s">
        <v>597</v>
      </c>
      <c r="E56" s="4" t="s">
        <v>34</v>
      </c>
      <c r="F56" s="15" t="s">
        <v>428</v>
      </c>
      <c r="G56" s="10" t="n">
        <v>10</v>
      </c>
      <c r="H56" s="10" t="n">
        <v>25</v>
      </c>
      <c r="I56" s="16" t="n">
        <f aca="false">IF(OR(LEFT($B56,2)="P0",$H56&lt;=$G$3),$H56,IF(LEFT($B56,2)="P9",$H56-$E$3+$C$3,ROUND($H56*$C$3/$E$3,0)))</f>
        <v>25</v>
      </c>
      <c r="J56" s="4"/>
      <c r="K56" s="4" t="s">
        <v>491</v>
      </c>
      <c r="L56" s="4" t="s">
        <v>529</v>
      </c>
      <c r="M56" s="4" t="s">
        <v>588</v>
      </c>
      <c r="N56" s="11" t="str">
        <f aca="false">IF(AND($G56&lt;=N$5,$H56&gt;=N$4),"■","")</f>
        <v/>
      </c>
      <c r="O56" s="11" t="str">
        <f aca="false">IF(AND($G56&lt;=O$5,$H56&gt;=O$4),"■","")</f>
        <v/>
      </c>
      <c r="P56" s="11" t="str">
        <f aca="false">IF(AND($G56&lt;=P$5,$H56&gt;=P$4),"■","")</f>
        <v>■</v>
      </c>
      <c r="Q56" s="11" t="str">
        <f aca="false">IF(AND($G56&lt;=Q$5,$H56&gt;=Q$4),"■","")</f>
        <v>■</v>
      </c>
      <c r="R56" s="11" t="str">
        <f aca="false">IF(AND($G56&lt;=R$5,$H56&gt;=R$4),"■","")</f>
        <v>■</v>
      </c>
      <c r="S56" s="11" t="str">
        <f aca="false">IF(AND($G56&lt;=S$5,$H56&gt;=S$4),"■","")</f>
        <v/>
      </c>
      <c r="T56" s="11" t="str">
        <f aca="false">IF(AND($G56&lt;=T$5,$H56&gt;=T$4),"■","")</f>
        <v/>
      </c>
      <c r="U56" s="11" t="str">
        <f aca="false">IF(AND($G56&lt;=U$5,$H56&gt;=U$4),"■","")</f>
        <v/>
      </c>
      <c r="V56" s="11" t="str">
        <f aca="false">IF(AND($G56&lt;=V$5,$H56&gt;=V$4),"■","")</f>
        <v/>
      </c>
      <c r="W56" s="11" t="str">
        <f aca="false">IF(AND($G56&lt;=W$5,$H56&gt;=W$4),"■","")</f>
        <v/>
      </c>
      <c r="X56" s="11" t="str">
        <f aca="false">IF(AND($G56&lt;=X$5,$H56&gt;=X$4),"■","")</f>
        <v/>
      </c>
      <c r="Y56" s="11" t="str">
        <f aca="false">IF(AND($G56&lt;=Y$5,$H56&gt;=Y$4),"■","")</f>
        <v/>
      </c>
      <c r="Z56" s="11" t="str">
        <f aca="false">IF(AND($G56&lt;=Z$5,$H56&gt;=Z$4),"■","")</f>
        <v/>
      </c>
      <c r="AA56" s="11" t="str">
        <f aca="false">IF(AND($G56&lt;=AA$5,$H56&gt;=AA$4),"■","")</f>
        <v/>
      </c>
      <c r="AB56" s="11" t="str">
        <f aca="false">IF(AND($G56&lt;=AB$5,$H56&gt;=AB$4),"■","")</f>
        <v/>
      </c>
    </row>
    <row r="57" customFormat="false" ht="23.85" hidden="false" customHeight="false" outlineLevel="0" collapsed="false">
      <c r="A57" s="4" t="s">
        <v>598</v>
      </c>
      <c r="B57" s="4" t="s">
        <v>526</v>
      </c>
      <c r="C57" s="4" t="s">
        <v>599</v>
      </c>
      <c r="D57" s="4" t="s">
        <v>600</v>
      </c>
      <c r="E57" s="4" t="s">
        <v>34</v>
      </c>
      <c r="F57" s="15" t="s">
        <v>428</v>
      </c>
      <c r="G57" s="10" t="n">
        <v>14</v>
      </c>
      <c r="H57" s="10" t="n">
        <v>25</v>
      </c>
      <c r="I57" s="16" t="n">
        <f aca="false">IF(OR(LEFT($B57,2)="P0",$H57&lt;=$G$3),$H57,IF(LEFT($B57,2)="P9",$H57-$E$3+$C$3,ROUND($H57*$C$3/$E$3,0)))</f>
        <v>25</v>
      </c>
      <c r="J57" s="4"/>
      <c r="K57" s="4" t="s">
        <v>592</v>
      </c>
      <c r="L57" s="4" t="s">
        <v>529</v>
      </c>
      <c r="M57" s="4" t="s">
        <v>588</v>
      </c>
      <c r="N57" s="11" t="str">
        <f aca="false">IF(AND($G57&lt;=N$5,$H57&gt;=N$4),"■","")</f>
        <v/>
      </c>
      <c r="O57" s="11" t="str">
        <f aca="false">IF(AND($G57&lt;=O$5,$H57&gt;=O$4),"■","")</f>
        <v/>
      </c>
      <c r="P57" s="11" t="str">
        <f aca="false">IF(AND($G57&lt;=P$5,$H57&gt;=P$4),"■","")</f>
        <v/>
      </c>
      <c r="Q57" s="11" t="str">
        <f aca="false">IF(AND($G57&lt;=Q$5,$H57&gt;=Q$4),"■","")</f>
        <v>■</v>
      </c>
      <c r="R57" s="11" t="str">
        <f aca="false">IF(AND($G57&lt;=R$5,$H57&gt;=R$4),"■","")</f>
        <v>■</v>
      </c>
      <c r="S57" s="11" t="str">
        <f aca="false">IF(AND($G57&lt;=S$5,$H57&gt;=S$4),"■","")</f>
        <v/>
      </c>
      <c r="T57" s="11" t="str">
        <f aca="false">IF(AND($G57&lt;=T$5,$H57&gt;=T$4),"■","")</f>
        <v/>
      </c>
      <c r="U57" s="11" t="str">
        <f aca="false">IF(AND($G57&lt;=U$5,$H57&gt;=U$4),"■","")</f>
        <v/>
      </c>
      <c r="V57" s="11" t="str">
        <f aca="false">IF(AND($G57&lt;=V$5,$H57&gt;=V$4),"■","")</f>
        <v/>
      </c>
      <c r="W57" s="11" t="str">
        <f aca="false">IF(AND($G57&lt;=W$5,$H57&gt;=W$4),"■","")</f>
        <v/>
      </c>
      <c r="X57" s="11" t="str">
        <f aca="false">IF(AND($G57&lt;=X$5,$H57&gt;=X$4),"■","")</f>
        <v/>
      </c>
      <c r="Y57" s="11" t="str">
        <f aca="false">IF(AND($G57&lt;=Y$5,$H57&gt;=Y$4),"■","")</f>
        <v/>
      </c>
      <c r="Z57" s="11" t="str">
        <f aca="false">IF(AND($G57&lt;=Z$5,$H57&gt;=Z$4),"■","")</f>
        <v/>
      </c>
      <c r="AA57" s="11" t="str">
        <f aca="false">IF(AND($G57&lt;=AA$5,$H57&gt;=AA$4),"■","")</f>
        <v/>
      </c>
      <c r="AB57" s="11" t="str">
        <f aca="false">IF(AND($G57&lt;=AB$5,$H57&gt;=AB$4),"■","")</f>
        <v/>
      </c>
    </row>
    <row r="58" customFormat="false" ht="23.85" hidden="false" customHeight="false" outlineLevel="0" collapsed="false">
      <c r="A58" s="4" t="s">
        <v>601</v>
      </c>
      <c r="B58" s="4" t="s">
        <v>602</v>
      </c>
      <c r="C58" s="4" t="s">
        <v>603</v>
      </c>
      <c r="D58" s="4" t="s">
        <v>604</v>
      </c>
      <c r="E58" s="4" t="s">
        <v>38</v>
      </c>
      <c r="F58" s="15" t="s">
        <v>428</v>
      </c>
      <c r="G58" s="10" t="n">
        <v>35</v>
      </c>
      <c r="H58" s="10" t="n">
        <v>75</v>
      </c>
      <c r="I58" s="16" t="n">
        <f aca="false">IF(OR(LEFT($B58,2)="P0",$H58&lt;=$G$3),$H58,IF(LEFT($B58,2)="P9",$H58-$E$3+$C$3,ROUND($H58*$C$3/$E$3,0)))</f>
        <v>75</v>
      </c>
      <c r="J58" s="4"/>
      <c r="K58" s="4" t="s">
        <v>605</v>
      </c>
      <c r="L58" s="4" t="s">
        <v>606</v>
      </c>
      <c r="M58" s="4" t="s">
        <v>416</v>
      </c>
      <c r="N58" s="11" t="str">
        <f aca="false">IF(AND($G58&lt;=N$5,$H58&gt;=N$4),"■","")</f>
        <v/>
      </c>
      <c r="O58" s="11" t="str">
        <f aca="false">IF(AND($G58&lt;=O$5,$H58&gt;=O$4),"■","")</f>
        <v/>
      </c>
      <c r="P58" s="11" t="str">
        <f aca="false">IF(AND($G58&lt;=P$5,$H58&gt;=P$4),"■","")</f>
        <v/>
      </c>
      <c r="Q58" s="11" t="str">
        <f aca="false">IF(AND($G58&lt;=Q$5,$H58&gt;=Q$4),"■","")</f>
        <v/>
      </c>
      <c r="R58" s="11" t="str">
        <f aca="false">IF(AND($G58&lt;=R$5,$H58&gt;=R$4),"■","")</f>
        <v/>
      </c>
      <c r="S58" s="11" t="str">
        <f aca="false">IF(AND($G58&lt;=S$5,$H58&gt;=S$4),"■","")</f>
        <v/>
      </c>
      <c r="T58" s="11" t="str">
        <f aca="false">IF(AND($G58&lt;=T$5,$H58&gt;=T$4),"■","")</f>
        <v>■</v>
      </c>
      <c r="U58" s="11" t="str">
        <f aca="false">IF(AND($G58&lt;=U$5,$H58&gt;=U$4),"■","")</f>
        <v>■</v>
      </c>
      <c r="V58" s="11" t="str">
        <f aca="false">IF(AND($G58&lt;=V$5,$H58&gt;=V$4),"■","")</f>
        <v>■</v>
      </c>
      <c r="W58" s="11" t="str">
        <f aca="false">IF(AND($G58&lt;=W$5,$H58&gt;=W$4),"■","")</f>
        <v>■</v>
      </c>
      <c r="X58" s="11" t="str">
        <f aca="false">IF(AND($G58&lt;=X$5,$H58&gt;=X$4),"■","")</f>
        <v>■</v>
      </c>
      <c r="Y58" s="11" t="str">
        <f aca="false">IF(AND($G58&lt;=Y$5,$H58&gt;=Y$4),"■","")</f>
        <v>■</v>
      </c>
      <c r="Z58" s="11" t="str">
        <f aca="false">IF(AND($G58&lt;=Z$5,$H58&gt;=Z$4),"■","")</f>
        <v/>
      </c>
      <c r="AA58" s="11" t="str">
        <f aca="false">IF(AND($G58&lt;=AA$5,$H58&gt;=AA$4),"■","")</f>
        <v/>
      </c>
      <c r="AB58" s="11" t="str">
        <f aca="false">IF(AND($G58&lt;=AB$5,$H58&gt;=AB$4),"■","")</f>
        <v/>
      </c>
    </row>
    <row r="59" customFormat="false" ht="23.85" hidden="false" customHeight="false" outlineLevel="0" collapsed="false">
      <c r="A59" s="4" t="s">
        <v>607</v>
      </c>
      <c r="B59" s="4" t="s">
        <v>602</v>
      </c>
      <c r="C59" s="4" t="s">
        <v>608</v>
      </c>
      <c r="D59" s="4" t="s">
        <v>609</v>
      </c>
      <c r="E59" s="4" t="s">
        <v>34</v>
      </c>
      <c r="F59" s="15" t="s">
        <v>428</v>
      </c>
      <c r="G59" s="10" t="n">
        <v>35</v>
      </c>
      <c r="H59" s="10" t="n">
        <v>75</v>
      </c>
      <c r="I59" s="16" t="n">
        <f aca="false">IF(OR(LEFT($B59,2)="P0",$H59&lt;=$G$3),$H59,IF(LEFT($B59,2)="P9",$H59-$E$3+$C$3,ROUND($H59*$C$3/$E$3,0)))</f>
        <v>75</v>
      </c>
      <c r="J59" s="4" t="s">
        <v>610</v>
      </c>
      <c r="K59" s="4" t="s">
        <v>601</v>
      </c>
      <c r="L59" s="4" t="s">
        <v>461</v>
      </c>
      <c r="M59" s="4" t="s">
        <v>416</v>
      </c>
      <c r="N59" s="11" t="str">
        <f aca="false">IF(AND($G59&lt;=N$5,$H59&gt;=N$4),"■","")</f>
        <v/>
      </c>
      <c r="O59" s="11" t="str">
        <f aca="false">IF(AND($G59&lt;=O$5,$H59&gt;=O$4),"■","")</f>
        <v/>
      </c>
      <c r="P59" s="11" t="str">
        <f aca="false">IF(AND($G59&lt;=P$5,$H59&gt;=P$4),"■","")</f>
        <v/>
      </c>
      <c r="Q59" s="11" t="str">
        <f aca="false">IF(AND($G59&lt;=Q$5,$H59&gt;=Q$4),"■","")</f>
        <v/>
      </c>
      <c r="R59" s="11" t="str">
        <f aca="false">IF(AND($G59&lt;=R$5,$H59&gt;=R$4),"■","")</f>
        <v/>
      </c>
      <c r="S59" s="11" t="str">
        <f aca="false">IF(AND($G59&lt;=S$5,$H59&gt;=S$4),"■","")</f>
        <v/>
      </c>
      <c r="T59" s="11" t="str">
        <f aca="false">IF(AND($G59&lt;=T$5,$H59&gt;=T$4),"■","")</f>
        <v>■</v>
      </c>
      <c r="U59" s="11" t="str">
        <f aca="false">IF(AND($G59&lt;=U$5,$H59&gt;=U$4),"■","")</f>
        <v>■</v>
      </c>
      <c r="V59" s="11" t="str">
        <f aca="false">IF(AND($G59&lt;=V$5,$H59&gt;=V$4),"■","")</f>
        <v>■</v>
      </c>
      <c r="W59" s="11" t="str">
        <f aca="false">IF(AND($G59&lt;=W$5,$H59&gt;=W$4),"■","")</f>
        <v>■</v>
      </c>
      <c r="X59" s="11" t="str">
        <f aca="false">IF(AND($G59&lt;=X$5,$H59&gt;=X$4),"■","")</f>
        <v>■</v>
      </c>
      <c r="Y59" s="11" t="str">
        <f aca="false">IF(AND($G59&lt;=Y$5,$H59&gt;=Y$4),"■","")</f>
        <v>■</v>
      </c>
      <c r="Z59" s="11" t="str">
        <f aca="false">IF(AND($G59&lt;=Z$5,$H59&gt;=Z$4),"■","")</f>
        <v/>
      </c>
      <c r="AA59" s="11" t="str">
        <f aca="false">IF(AND($G59&lt;=AA$5,$H59&gt;=AA$4),"■","")</f>
        <v/>
      </c>
      <c r="AB59" s="11" t="str">
        <f aca="false">IF(AND($G59&lt;=AB$5,$H59&gt;=AB$4),"■","")</f>
        <v/>
      </c>
    </row>
    <row r="60" customFormat="false" ht="23.85" hidden="false" customHeight="false" outlineLevel="0" collapsed="false">
      <c r="A60" s="4" t="s">
        <v>611</v>
      </c>
      <c r="B60" s="4" t="s">
        <v>602</v>
      </c>
      <c r="C60" s="4" t="s">
        <v>612</v>
      </c>
      <c r="D60" s="4" t="s">
        <v>613</v>
      </c>
      <c r="E60" s="4" t="s">
        <v>34</v>
      </c>
      <c r="F60" s="15" t="s">
        <v>414</v>
      </c>
      <c r="G60" s="10" t="n">
        <v>21</v>
      </c>
      <c r="H60" s="10" t="n">
        <v>40</v>
      </c>
      <c r="I60" s="16" t="n">
        <f aca="false">IF(OR(LEFT($B60,2)="P0",$H60&lt;=$G$3),$H60,IF(LEFT($B60,2)="P9",$H60-$E$3+$C$3,ROUND($H60*$C$3/$E$3,0)))</f>
        <v>40</v>
      </c>
      <c r="J60" s="4"/>
      <c r="K60" s="4" t="s">
        <v>614</v>
      </c>
      <c r="L60" s="4" t="s">
        <v>615</v>
      </c>
      <c r="M60" s="4" t="s">
        <v>553</v>
      </c>
      <c r="N60" s="11" t="str">
        <f aca="false">IF(AND($G60&lt;=N$5,$H60&gt;=N$4),"■","")</f>
        <v/>
      </c>
      <c r="O60" s="11" t="str">
        <f aca="false">IF(AND($G60&lt;=O$5,$H60&gt;=O$4),"■","")</f>
        <v/>
      </c>
      <c r="P60" s="11" t="str">
        <f aca="false">IF(AND($G60&lt;=P$5,$H60&gt;=P$4),"■","")</f>
        <v/>
      </c>
      <c r="Q60" s="11" t="str">
        <f aca="false">IF(AND($G60&lt;=Q$5,$H60&gt;=Q$4),"■","")</f>
        <v/>
      </c>
      <c r="R60" s="11" t="str">
        <f aca="false">IF(AND($G60&lt;=R$5,$H60&gt;=R$4),"■","")</f>
        <v>■</v>
      </c>
      <c r="S60" s="11" t="str">
        <f aca="false">IF(AND($G60&lt;=S$5,$H60&gt;=S$4),"■","")</f>
        <v>■</v>
      </c>
      <c r="T60" s="11" t="str">
        <f aca="false">IF(AND($G60&lt;=T$5,$H60&gt;=T$4),"■","")</f>
        <v>■</v>
      </c>
      <c r="U60" s="11" t="str">
        <f aca="false">IF(AND($G60&lt;=U$5,$H60&gt;=U$4),"■","")</f>
        <v/>
      </c>
      <c r="V60" s="11" t="str">
        <f aca="false">IF(AND($G60&lt;=V$5,$H60&gt;=V$4),"■","")</f>
        <v/>
      </c>
      <c r="W60" s="11" t="str">
        <f aca="false">IF(AND($G60&lt;=W$5,$H60&gt;=W$4),"■","")</f>
        <v/>
      </c>
      <c r="X60" s="11" t="str">
        <f aca="false">IF(AND($G60&lt;=X$5,$H60&gt;=X$4),"■","")</f>
        <v/>
      </c>
      <c r="Y60" s="11" t="str">
        <f aca="false">IF(AND($G60&lt;=Y$5,$H60&gt;=Y$4),"■","")</f>
        <v/>
      </c>
      <c r="Z60" s="11" t="str">
        <f aca="false">IF(AND($G60&lt;=Z$5,$H60&gt;=Z$4),"■","")</f>
        <v/>
      </c>
      <c r="AA60" s="11" t="str">
        <f aca="false">IF(AND($G60&lt;=AA$5,$H60&gt;=AA$4),"■","")</f>
        <v/>
      </c>
      <c r="AB60" s="11" t="str">
        <f aca="false">IF(AND($G60&lt;=AB$5,$H60&gt;=AB$4),"■","")</f>
        <v/>
      </c>
    </row>
    <row r="61" customFormat="false" ht="23.85" hidden="false" customHeight="false" outlineLevel="0" collapsed="false">
      <c r="A61" s="4" t="s">
        <v>616</v>
      </c>
      <c r="B61" s="4" t="s">
        <v>602</v>
      </c>
      <c r="C61" s="4" t="s">
        <v>617</v>
      </c>
      <c r="D61" s="4" t="s">
        <v>618</v>
      </c>
      <c r="E61" s="4" t="s">
        <v>34</v>
      </c>
      <c r="F61" s="15" t="s">
        <v>428</v>
      </c>
      <c r="G61" s="10" t="n">
        <v>30</v>
      </c>
      <c r="H61" s="10" t="n">
        <v>55</v>
      </c>
      <c r="I61" s="16" t="n">
        <f aca="false">IF(OR(LEFT($B61,2)="P0",$H61&lt;=$G$3),$H61,IF(LEFT($B61,2)="P9",$H61-$E$3+$C$3,ROUND($H61*$C$3/$E$3,0)))</f>
        <v>55</v>
      </c>
      <c r="J61" s="4"/>
      <c r="K61" s="4" t="s">
        <v>619</v>
      </c>
      <c r="L61" s="4" t="s">
        <v>620</v>
      </c>
      <c r="M61" s="4" t="s">
        <v>553</v>
      </c>
      <c r="N61" s="11" t="str">
        <f aca="false">IF(AND($G61&lt;=N$5,$H61&gt;=N$4),"■","")</f>
        <v/>
      </c>
      <c r="O61" s="11" t="str">
        <f aca="false">IF(AND($G61&lt;=O$5,$H61&gt;=O$4),"■","")</f>
        <v/>
      </c>
      <c r="P61" s="11" t="str">
        <f aca="false">IF(AND($G61&lt;=P$5,$H61&gt;=P$4),"■","")</f>
        <v/>
      </c>
      <c r="Q61" s="11" t="str">
        <f aca="false">IF(AND($G61&lt;=Q$5,$H61&gt;=Q$4),"■","")</f>
        <v/>
      </c>
      <c r="R61" s="11" t="str">
        <f aca="false">IF(AND($G61&lt;=R$5,$H61&gt;=R$4),"■","")</f>
        <v/>
      </c>
      <c r="S61" s="11" t="str">
        <f aca="false">IF(AND($G61&lt;=S$5,$H61&gt;=S$4),"■","")</f>
        <v>■</v>
      </c>
      <c r="T61" s="11" t="str">
        <f aca="false">IF(AND($G61&lt;=T$5,$H61&gt;=T$4),"■","")</f>
        <v>■</v>
      </c>
      <c r="U61" s="11" t="str">
        <f aca="false">IF(AND($G61&lt;=U$5,$H61&gt;=U$4),"■","")</f>
        <v>■</v>
      </c>
      <c r="V61" s="11" t="str">
        <f aca="false">IF(AND($G61&lt;=V$5,$H61&gt;=V$4),"■","")</f>
        <v>■</v>
      </c>
      <c r="W61" s="11" t="str">
        <f aca="false">IF(AND($G61&lt;=W$5,$H61&gt;=W$4),"■","")</f>
        <v/>
      </c>
      <c r="X61" s="11" t="str">
        <f aca="false">IF(AND($G61&lt;=X$5,$H61&gt;=X$4),"■","")</f>
        <v/>
      </c>
      <c r="Y61" s="11" t="str">
        <f aca="false">IF(AND($G61&lt;=Y$5,$H61&gt;=Y$4),"■","")</f>
        <v/>
      </c>
      <c r="Z61" s="11" t="str">
        <f aca="false">IF(AND($G61&lt;=Z$5,$H61&gt;=Z$4),"■","")</f>
        <v/>
      </c>
      <c r="AA61" s="11" t="str">
        <f aca="false">IF(AND($G61&lt;=AA$5,$H61&gt;=AA$4),"■","")</f>
        <v/>
      </c>
      <c r="AB61" s="11" t="str">
        <f aca="false">IF(AND($G61&lt;=AB$5,$H61&gt;=AB$4),"■","")</f>
        <v/>
      </c>
    </row>
    <row r="62" customFormat="false" ht="35.05" hidden="false" customHeight="false" outlineLevel="0" collapsed="false">
      <c r="A62" s="4" t="s">
        <v>621</v>
      </c>
      <c r="B62" s="4" t="s">
        <v>602</v>
      </c>
      <c r="C62" s="4" t="s">
        <v>622</v>
      </c>
      <c r="D62" s="4" t="s">
        <v>623</v>
      </c>
      <c r="E62" s="4" t="s">
        <v>34</v>
      </c>
      <c r="F62" s="15" t="s">
        <v>428</v>
      </c>
      <c r="G62" s="10" t="n">
        <v>35</v>
      </c>
      <c r="H62" s="10" t="n">
        <v>60</v>
      </c>
      <c r="I62" s="16" t="n">
        <f aca="false">IF(OR(LEFT($B62,2)="P0",$H62&lt;=$G$3),$H62,IF(LEFT($B62,2)="P9",$H62-$E$3+$C$3,ROUND($H62*$C$3/$E$3,0)))</f>
        <v>60</v>
      </c>
      <c r="J62" s="4"/>
      <c r="K62" s="4" t="s">
        <v>616</v>
      </c>
      <c r="L62" s="4" t="s">
        <v>624</v>
      </c>
      <c r="M62" s="4" t="s">
        <v>553</v>
      </c>
      <c r="N62" s="11" t="str">
        <f aca="false">IF(AND($G62&lt;=N$5,$H62&gt;=N$4),"■","")</f>
        <v/>
      </c>
      <c r="O62" s="11" t="str">
        <f aca="false">IF(AND($G62&lt;=O$5,$H62&gt;=O$4),"■","")</f>
        <v/>
      </c>
      <c r="P62" s="11" t="str">
        <f aca="false">IF(AND($G62&lt;=P$5,$H62&gt;=P$4),"■","")</f>
        <v/>
      </c>
      <c r="Q62" s="11" t="str">
        <f aca="false">IF(AND($G62&lt;=Q$5,$H62&gt;=Q$4),"■","")</f>
        <v/>
      </c>
      <c r="R62" s="11" t="str">
        <f aca="false">IF(AND($G62&lt;=R$5,$H62&gt;=R$4),"■","")</f>
        <v/>
      </c>
      <c r="S62" s="11" t="str">
        <f aca="false">IF(AND($G62&lt;=S$5,$H62&gt;=S$4),"■","")</f>
        <v/>
      </c>
      <c r="T62" s="11" t="str">
        <f aca="false">IF(AND($G62&lt;=T$5,$H62&gt;=T$4),"■","")</f>
        <v>■</v>
      </c>
      <c r="U62" s="11" t="str">
        <f aca="false">IF(AND($G62&lt;=U$5,$H62&gt;=U$4),"■","")</f>
        <v>■</v>
      </c>
      <c r="V62" s="11" t="str">
        <f aca="false">IF(AND($G62&lt;=V$5,$H62&gt;=V$4),"■","")</f>
        <v>■</v>
      </c>
      <c r="W62" s="11" t="str">
        <f aca="false">IF(AND($G62&lt;=W$5,$H62&gt;=W$4),"■","")</f>
        <v>■</v>
      </c>
      <c r="X62" s="11" t="str">
        <f aca="false">IF(AND($G62&lt;=X$5,$H62&gt;=X$4),"■","")</f>
        <v/>
      </c>
      <c r="Y62" s="11" t="str">
        <f aca="false">IF(AND($G62&lt;=Y$5,$H62&gt;=Y$4),"■","")</f>
        <v/>
      </c>
      <c r="Z62" s="11" t="str">
        <f aca="false">IF(AND($G62&lt;=Z$5,$H62&gt;=Z$4),"■","")</f>
        <v/>
      </c>
      <c r="AA62" s="11" t="str">
        <f aca="false">IF(AND($G62&lt;=AA$5,$H62&gt;=AA$4),"■","")</f>
        <v/>
      </c>
      <c r="AB62" s="11" t="str">
        <f aca="false">IF(AND($G62&lt;=AB$5,$H62&gt;=AB$4),"■","")</f>
        <v/>
      </c>
    </row>
    <row r="63" customFormat="false" ht="35.05" hidden="false" customHeight="false" outlineLevel="0" collapsed="false">
      <c r="A63" s="4" t="s">
        <v>625</v>
      </c>
      <c r="B63" s="4" t="s">
        <v>602</v>
      </c>
      <c r="C63" s="4" t="s">
        <v>626</v>
      </c>
      <c r="D63" s="4" t="s">
        <v>627</v>
      </c>
      <c r="E63" s="4" t="s">
        <v>34</v>
      </c>
      <c r="F63" s="15" t="s">
        <v>414</v>
      </c>
      <c r="G63" s="10" t="n">
        <v>35</v>
      </c>
      <c r="H63" s="10" t="n">
        <v>60</v>
      </c>
      <c r="I63" s="16" t="n">
        <f aca="false">IF(OR(LEFT($B63,2)="P0",$H63&lt;=$G$3),$H63,IF(LEFT($B63,2)="P9",$H63-$E$3+$C$3,ROUND($H63*$C$3/$E$3,0)))</f>
        <v>60</v>
      </c>
      <c r="J63" s="4"/>
      <c r="K63" s="4" t="s">
        <v>557</v>
      </c>
      <c r="L63" s="4" t="s">
        <v>628</v>
      </c>
      <c r="M63" s="4" t="s">
        <v>553</v>
      </c>
      <c r="N63" s="11" t="str">
        <f aca="false">IF(AND($G63&lt;=N$5,$H63&gt;=N$4),"■","")</f>
        <v/>
      </c>
      <c r="O63" s="11" t="str">
        <f aca="false">IF(AND($G63&lt;=O$5,$H63&gt;=O$4),"■","")</f>
        <v/>
      </c>
      <c r="P63" s="11" t="str">
        <f aca="false">IF(AND($G63&lt;=P$5,$H63&gt;=P$4),"■","")</f>
        <v/>
      </c>
      <c r="Q63" s="11" t="str">
        <f aca="false">IF(AND($G63&lt;=Q$5,$H63&gt;=Q$4),"■","")</f>
        <v/>
      </c>
      <c r="R63" s="11" t="str">
        <f aca="false">IF(AND($G63&lt;=R$5,$H63&gt;=R$4),"■","")</f>
        <v/>
      </c>
      <c r="S63" s="11" t="str">
        <f aca="false">IF(AND($G63&lt;=S$5,$H63&gt;=S$4),"■","")</f>
        <v/>
      </c>
      <c r="T63" s="11" t="str">
        <f aca="false">IF(AND($G63&lt;=T$5,$H63&gt;=T$4),"■","")</f>
        <v>■</v>
      </c>
      <c r="U63" s="11" t="str">
        <f aca="false">IF(AND($G63&lt;=U$5,$H63&gt;=U$4),"■","")</f>
        <v>■</v>
      </c>
      <c r="V63" s="11" t="str">
        <f aca="false">IF(AND($G63&lt;=V$5,$H63&gt;=V$4),"■","")</f>
        <v>■</v>
      </c>
      <c r="W63" s="11" t="str">
        <f aca="false">IF(AND($G63&lt;=W$5,$H63&gt;=W$4),"■","")</f>
        <v>■</v>
      </c>
      <c r="X63" s="11" t="str">
        <f aca="false">IF(AND($G63&lt;=X$5,$H63&gt;=X$4),"■","")</f>
        <v/>
      </c>
      <c r="Y63" s="11" t="str">
        <f aca="false">IF(AND($G63&lt;=Y$5,$H63&gt;=Y$4),"■","")</f>
        <v/>
      </c>
      <c r="Z63" s="11" t="str">
        <f aca="false">IF(AND($G63&lt;=Z$5,$H63&gt;=Z$4),"■","")</f>
        <v/>
      </c>
      <c r="AA63" s="11" t="str">
        <f aca="false">IF(AND($G63&lt;=AA$5,$H63&gt;=AA$4),"■","")</f>
        <v/>
      </c>
      <c r="AB63" s="11" t="str">
        <f aca="false">IF(AND($G63&lt;=AB$5,$H63&gt;=AB$4),"■","")</f>
        <v/>
      </c>
    </row>
    <row r="64" customFormat="false" ht="23.85" hidden="false" customHeight="false" outlineLevel="0" collapsed="false">
      <c r="A64" s="4" t="s">
        <v>629</v>
      </c>
      <c r="B64" s="4" t="s">
        <v>602</v>
      </c>
      <c r="C64" s="4" t="s">
        <v>630</v>
      </c>
      <c r="D64" s="4" t="s">
        <v>631</v>
      </c>
      <c r="E64" s="4" t="s">
        <v>34</v>
      </c>
      <c r="F64" s="15" t="s">
        <v>414</v>
      </c>
      <c r="G64" s="10" t="n">
        <v>30</v>
      </c>
      <c r="H64" s="10" t="n">
        <v>60</v>
      </c>
      <c r="I64" s="16" t="n">
        <f aca="false">IF(OR(LEFT($B64,2)="P0",$H64&lt;=$G$3),$H64,IF(LEFT($B64,2)="P9",$H64-$E$3+$C$3,ROUND($H64*$C$3/$E$3,0)))</f>
        <v>60</v>
      </c>
      <c r="J64" s="4"/>
      <c r="K64" s="4" t="s">
        <v>536</v>
      </c>
      <c r="L64" s="4" t="s">
        <v>632</v>
      </c>
      <c r="M64" s="4" t="s">
        <v>553</v>
      </c>
      <c r="N64" s="11" t="str">
        <f aca="false">IF(AND($G64&lt;=N$5,$H64&gt;=N$4),"■","")</f>
        <v/>
      </c>
      <c r="O64" s="11" t="str">
        <f aca="false">IF(AND($G64&lt;=O$5,$H64&gt;=O$4),"■","")</f>
        <v/>
      </c>
      <c r="P64" s="11" t="str">
        <f aca="false">IF(AND($G64&lt;=P$5,$H64&gt;=P$4),"■","")</f>
        <v/>
      </c>
      <c r="Q64" s="11" t="str">
        <f aca="false">IF(AND($G64&lt;=Q$5,$H64&gt;=Q$4),"■","")</f>
        <v/>
      </c>
      <c r="R64" s="11" t="str">
        <f aca="false">IF(AND($G64&lt;=R$5,$H64&gt;=R$4),"■","")</f>
        <v/>
      </c>
      <c r="S64" s="11" t="str">
        <f aca="false">IF(AND($G64&lt;=S$5,$H64&gt;=S$4),"■","")</f>
        <v>■</v>
      </c>
      <c r="T64" s="11" t="str">
        <f aca="false">IF(AND($G64&lt;=T$5,$H64&gt;=T$4),"■","")</f>
        <v>■</v>
      </c>
      <c r="U64" s="11" t="str">
        <f aca="false">IF(AND($G64&lt;=U$5,$H64&gt;=U$4),"■","")</f>
        <v>■</v>
      </c>
      <c r="V64" s="11" t="str">
        <f aca="false">IF(AND($G64&lt;=V$5,$H64&gt;=V$4),"■","")</f>
        <v>■</v>
      </c>
      <c r="W64" s="11" t="str">
        <f aca="false">IF(AND($G64&lt;=W$5,$H64&gt;=W$4),"■","")</f>
        <v>■</v>
      </c>
      <c r="X64" s="11" t="str">
        <f aca="false">IF(AND($G64&lt;=X$5,$H64&gt;=X$4),"■","")</f>
        <v/>
      </c>
      <c r="Y64" s="11" t="str">
        <f aca="false">IF(AND($G64&lt;=Y$5,$H64&gt;=Y$4),"■","")</f>
        <v/>
      </c>
      <c r="Z64" s="11" t="str">
        <f aca="false">IF(AND($G64&lt;=Z$5,$H64&gt;=Z$4),"■","")</f>
        <v/>
      </c>
      <c r="AA64" s="11" t="str">
        <f aca="false">IF(AND($G64&lt;=AA$5,$H64&gt;=AA$4),"■","")</f>
        <v/>
      </c>
      <c r="AB64" s="11" t="str">
        <f aca="false">IF(AND($G64&lt;=AB$5,$H64&gt;=AB$4),"■","")</f>
        <v/>
      </c>
    </row>
    <row r="65" customFormat="false" ht="23.85" hidden="false" customHeight="false" outlineLevel="0" collapsed="false">
      <c r="A65" s="4" t="s">
        <v>633</v>
      </c>
      <c r="B65" s="4" t="s">
        <v>602</v>
      </c>
      <c r="C65" s="4" t="s">
        <v>634</v>
      </c>
      <c r="D65" s="4" t="s">
        <v>635</v>
      </c>
      <c r="E65" s="4" t="s">
        <v>34</v>
      </c>
      <c r="F65" s="15" t="s">
        <v>428</v>
      </c>
      <c r="G65" s="10" t="n">
        <v>25</v>
      </c>
      <c r="H65" s="10" t="n">
        <v>50</v>
      </c>
      <c r="I65" s="16" t="n">
        <f aca="false">IF(OR(LEFT($B65,2)="P0",$H65&lt;=$G$3),$H65,IF(LEFT($B65,2)="P9",$H65-$E$3+$C$3,ROUND($H65*$C$3/$E$3,0)))</f>
        <v>50</v>
      </c>
      <c r="J65" s="4"/>
      <c r="K65" s="4" t="s">
        <v>636</v>
      </c>
      <c r="L65" s="4" t="s">
        <v>529</v>
      </c>
      <c r="M65" s="4" t="s">
        <v>553</v>
      </c>
      <c r="N65" s="11" t="str">
        <f aca="false">IF(AND($G65&lt;=N$5,$H65&gt;=N$4),"■","")</f>
        <v/>
      </c>
      <c r="O65" s="11" t="str">
        <f aca="false">IF(AND($G65&lt;=O$5,$H65&gt;=O$4),"■","")</f>
        <v/>
      </c>
      <c r="P65" s="11" t="str">
        <f aca="false">IF(AND($G65&lt;=P$5,$H65&gt;=P$4),"■","")</f>
        <v/>
      </c>
      <c r="Q65" s="11" t="str">
        <f aca="false">IF(AND($G65&lt;=Q$5,$H65&gt;=Q$4),"■","")</f>
        <v/>
      </c>
      <c r="R65" s="11" t="str">
        <f aca="false">IF(AND($G65&lt;=R$5,$H65&gt;=R$4),"■","")</f>
        <v>■</v>
      </c>
      <c r="S65" s="11" t="str">
        <f aca="false">IF(AND($G65&lt;=S$5,$H65&gt;=S$4),"■","")</f>
        <v>■</v>
      </c>
      <c r="T65" s="11" t="str">
        <f aca="false">IF(AND($G65&lt;=T$5,$H65&gt;=T$4),"■","")</f>
        <v>■</v>
      </c>
      <c r="U65" s="11" t="str">
        <f aca="false">IF(AND($G65&lt;=U$5,$H65&gt;=U$4),"■","")</f>
        <v>■</v>
      </c>
      <c r="V65" s="11" t="str">
        <f aca="false">IF(AND($G65&lt;=V$5,$H65&gt;=V$4),"■","")</f>
        <v>■</v>
      </c>
      <c r="W65" s="11" t="str">
        <f aca="false">IF(AND($G65&lt;=W$5,$H65&gt;=W$4),"■","")</f>
        <v/>
      </c>
      <c r="X65" s="11" t="str">
        <f aca="false">IF(AND($G65&lt;=X$5,$H65&gt;=X$4),"■","")</f>
        <v/>
      </c>
      <c r="Y65" s="11" t="str">
        <f aca="false">IF(AND($G65&lt;=Y$5,$H65&gt;=Y$4),"■","")</f>
        <v/>
      </c>
      <c r="Z65" s="11" t="str">
        <f aca="false">IF(AND($G65&lt;=Z$5,$H65&gt;=Z$4),"■","")</f>
        <v/>
      </c>
      <c r="AA65" s="11" t="str">
        <f aca="false">IF(AND($G65&lt;=AA$5,$H65&gt;=AA$4),"■","")</f>
        <v/>
      </c>
      <c r="AB65" s="11" t="str">
        <f aca="false">IF(AND($G65&lt;=AB$5,$H65&gt;=AB$4),"■","")</f>
        <v/>
      </c>
    </row>
    <row r="66" customFormat="false" ht="23.85" hidden="false" customHeight="false" outlineLevel="0" collapsed="false">
      <c r="A66" s="4" t="s">
        <v>637</v>
      </c>
      <c r="B66" s="4" t="s">
        <v>602</v>
      </c>
      <c r="C66" s="4" t="s">
        <v>638</v>
      </c>
      <c r="D66" s="4" t="s">
        <v>639</v>
      </c>
      <c r="E66" s="4" t="s">
        <v>34</v>
      </c>
      <c r="F66" s="15" t="s">
        <v>428</v>
      </c>
      <c r="G66" s="10" t="n">
        <v>30</v>
      </c>
      <c r="H66" s="10" t="n">
        <v>60</v>
      </c>
      <c r="I66" s="16" t="n">
        <f aca="false">IF(OR(LEFT($B66,2)="P0",$H66&lt;=$G$3),$H66,IF(LEFT($B66,2)="P9",$H66-$E$3+$C$3,ROUND($H66*$C$3/$E$3,0)))</f>
        <v>60</v>
      </c>
      <c r="J66" s="4"/>
      <c r="K66" s="4" t="s">
        <v>563</v>
      </c>
      <c r="L66" s="4" t="s">
        <v>529</v>
      </c>
      <c r="M66" s="4" t="s">
        <v>553</v>
      </c>
      <c r="N66" s="11" t="str">
        <f aca="false">IF(AND($G66&lt;=N$5,$H66&gt;=N$4),"■","")</f>
        <v/>
      </c>
      <c r="O66" s="11" t="str">
        <f aca="false">IF(AND($G66&lt;=O$5,$H66&gt;=O$4),"■","")</f>
        <v/>
      </c>
      <c r="P66" s="11" t="str">
        <f aca="false">IF(AND($G66&lt;=P$5,$H66&gt;=P$4),"■","")</f>
        <v/>
      </c>
      <c r="Q66" s="11" t="str">
        <f aca="false">IF(AND($G66&lt;=Q$5,$H66&gt;=Q$4),"■","")</f>
        <v/>
      </c>
      <c r="R66" s="11" t="str">
        <f aca="false">IF(AND($G66&lt;=R$5,$H66&gt;=R$4),"■","")</f>
        <v/>
      </c>
      <c r="S66" s="11" t="str">
        <f aca="false">IF(AND($G66&lt;=S$5,$H66&gt;=S$4),"■","")</f>
        <v>■</v>
      </c>
      <c r="T66" s="11" t="str">
        <f aca="false">IF(AND($G66&lt;=T$5,$H66&gt;=T$4),"■","")</f>
        <v>■</v>
      </c>
      <c r="U66" s="11" t="str">
        <f aca="false">IF(AND($G66&lt;=U$5,$H66&gt;=U$4),"■","")</f>
        <v>■</v>
      </c>
      <c r="V66" s="11" t="str">
        <f aca="false">IF(AND($G66&lt;=V$5,$H66&gt;=V$4),"■","")</f>
        <v>■</v>
      </c>
      <c r="W66" s="11" t="str">
        <f aca="false">IF(AND($G66&lt;=W$5,$H66&gt;=W$4),"■","")</f>
        <v>■</v>
      </c>
      <c r="X66" s="11" t="str">
        <f aca="false">IF(AND($G66&lt;=X$5,$H66&gt;=X$4),"■","")</f>
        <v/>
      </c>
      <c r="Y66" s="11" t="str">
        <f aca="false">IF(AND($G66&lt;=Y$5,$H66&gt;=Y$4),"■","")</f>
        <v/>
      </c>
      <c r="Z66" s="11" t="str">
        <f aca="false">IF(AND($G66&lt;=Z$5,$H66&gt;=Z$4),"■","")</f>
        <v/>
      </c>
      <c r="AA66" s="11" t="str">
        <f aca="false">IF(AND($G66&lt;=AA$5,$H66&gt;=AA$4),"■","")</f>
        <v/>
      </c>
      <c r="AB66" s="11" t="str">
        <f aca="false">IF(AND($G66&lt;=AB$5,$H66&gt;=AB$4),"■","")</f>
        <v/>
      </c>
    </row>
    <row r="67" customFormat="false" ht="23.85" hidden="false" customHeight="false" outlineLevel="0" collapsed="false">
      <c r="A67" s="4" t="s">
        <v>640</v>
      </c>
      <c r="B67" s="4" t="s">
        <v>602</v>
      </c>
      <c r="C67" s="4" t="s">
        <v>641</v>
      </c>
      <c r="D67" s="4" t="s">
        <v>642</v>
      </c>
      <c r="E67" s="4" t="s">
        <v>34</v>
      </c>
      <c r="F67" s="15" t="s">
        <v>428</v>
      </c>
      <c r="G67" s="10" t="n">
        <v>40</v>
      </c>
      <c r="H67" s="10" t="n">
        <v>65</v>
      </c>
      <c r="I67" s="16" t="n">
        <f aca="false">IF(OR(LEFT($B67,2)="P0",$H67&lt;=$G$3),$H67,IF(LEFT($B67,2)="P9",$H67-$E$3+$C$3,ROUND($H67*$C$3/$E$3,0)))</f>
        <v>65</v>
      </c>
      <c r="J67" s="4"/>
      <c r="K67" s="4" t="s">
        <v>643</v>
      </c>
      <c r="L67" s="4" t="s">
        <v>644</v>
      </c>
      <c r="M67" s="4" t="s">
        <v>553</v>
      </c>
      <c r="N67" s="11" t="str">
        <f aca="false">IF(AND($G67&lt;=N$5,$H67&gt;=N$4),"■","")</f>
        <v/>
      </c>
      <c r="O67" s="11" t="str">
        <f aca="false">IF(AND($G67&lt;=O$5,$H67&gt;=O$4),"■","")</f>
        <v/>
      </c>
      <c r="P67" s="11" t="str">
        <f aca="false">IF(AND($G67&lt;=P$5,$H67&gt;=P$4),"■","")</f>
        <v/>
      </c>
      <c r="Q67" s="11" t="str">
        <f aca="false">IF(AND($G67&lt;=Q$5,$H67&gt;=Q$4),"■","")</f>
        <v/>
      </c>
      <c r="R67" s="11" t="str">
        <f aca="false">IF(AND($G67&lt;=R$5,$H67&gt;=R$4),"■","")</f>
        <v/>
      </c>
      <c r="S67" s="11" t="str">
        <f aca="false">IF(AND($G67&lt;=S$5,$H67&gt;=S$4),"■","")</f>
        <v/>
      </c>
      <c r="T67" s="11" t="str">
        <f aca="false">IF(AND($G67&lt;=T$5,$H67&gt;=T$4),"■","")</f>
        <v>■</v>
      </c>
      <c r="U67" s="11" t="str">
        <f aca="false">IF(AND($G67&lt;=U$5,$H67&gt;=U$4),"■","")</f>
        <v>■</v>
      </c>
      <c r="V67" s="11" t="str">
        <f aca="false">IF(AND($G67&lt;=V$5,$H67&gt;=V$4),"■","")</f>
        <v>■</v>
      </c>
      <c r="W67" s="11" t="str">
        <f aca="false">IF(AND($G67&lt;=W$5,$H67&gt;=W$4),"■","")</f>
        <v>■</v>
      </c>
      <c r="X67" s="11" t="str">
        <f aca="false">IF(AND($G67&lt;=X$5,$H67&gt;=X$4),"■","")</f>
        <v>■</v>
      </c>
      <c r="Y67" s="11" t="str">
        <f aca="false">IF(AND($G67&lt;=Y$5,$H67&gt;=Y$4),"■","")</f>
        <v/>
      </c>
      <c r="Z67" s="11" t="str">
        <f aca="false">IF(AND($G67&lt;=Z$5,$H67&gt;=Z$4),"■","")</f>
        <v/>
      </c>
      <c r="AA67" s="11" t="str">
        <f aca="false">IF(AND($G67&lt;=AA$5,$H67&gt;=AA$4),"■","")</f>
        <v/>
      </c>
      <c r="AB67" s="11" t="str">
        <f aca="false">IF(AND($G67&lt;=AB$5,$H67&gt;=AB$4),"■","")</f>
        <v/>
      </c>
    </row>
    <row r="68" customFormat="false" ht="23.85" hidden="false" customHeight="false" outlineLevel="0" collapsed="false">
      <c r="A68" s="4" t="s">
        <v>645</v>
      </c>
      <c r="B68" s="4" t="s">
        <v>602</v>
      </c>
      <c r="C68" s="4" t="s">
        <v>646</v>
      </c>
      <c r="D68" s="4" t="s">
        <v>647</v>
      </c>
      <c r="E68" s="4" t="s">
        <v>34</v>
      </c>
      <c r="F68" s="15" t="s">
        <v>428</v>
      </c>
      <c r="G68" s="10" t="n">
        <v>45</v>
      </c>
      <c r="H68" s="10" t="n">
        <v>70</v>
      </c>
      <c r="I68" s="16" t="n">
        <f aca="false">IF(OR(LEFT($B68,2)="P0",$H68&lt;=$G$3),$H68,IF(LEFT($B68,2)="P9",$H68-$E$3+$C$3,ROUND($H68*$C$3/$E$3,0)))</f>
        <v>70</v>
      </c>
      <c r="J68" s="4"/>
      <c r="K68" s="4" t="s">
        <v>539</v>
      </c>
      <c r="L68" s="4" t="s">
        <v>542</v>
      </c>
      <c r="M68" s="4" t="s">
        <v>553</v>
      </c>
      <c r="N68" s="11" t="str">
        <f aca="false">IF(AND($G68&lt;=N$5,$H68&gt;=N$4),"■","")</f>
        <v/>
      </c>
      <c r="O68" s="11" t="str">
        <f aca="false">IF(AND($G68&lt;=O$5,$H68&gt;=O$4),"■","")</f>
        <v/>
      </c>
      <c r="P68" s="11" t="str">
        <f aca="false">IF(AND($G68&lt;=P$5,$H68&gt;=P$4),"■","")</f>
        <v/>
      </c>
      <c r="Q68" s="11" t="str">
        <f aca="false">IF(AND($G68&lt;=Q$5,$H68&gt;=Q$4),"■","")</f>
        <v/>
      </c>
      <c r="R68" s="11" t="str">
        <f aca="false">IF(AND($G68&lt;=R$5,$H68&gt;=R$4),"■","")</f>
        <v/>
      </c>
      <c r="S68" s="11" t="str">
        <f aca="false">IF(AND($G68&lt;=S$5,$H68&gt;=S$4),"■","")</f>
        <v/>
      </c>
      <c r="T68" s="11" t="str">
        <f aca="false">IF(AND($G68&lt;=T$5,$H68&gt;=T$4),"■","")</f>
        <v/>
      </c>
      <c r="U68" s="11" t="str">
        <f aca="false">IF(AND($G68&lt;=U$5,$H68&gt;=U$4),"■","")</f>
        <v>■</v>
      </c>
      <c r="V68" s="11" t="str">
        <f aca="false">IF(AND($G68&lt;=V$5,$H68&gt;=V$4),"■","")</f>
        <v>■</v>
      </c>
      <c r="W68" s="11" t="str">
        <f aca="false">IF(AND($G68&lt;=W$5,$H68&gt;=W$4),"■","")</f>
        <v>■</v>
      </c>
      <c r="X68" s="11" t="str">
        <f aca="false">IF(AND($G68&lt;=X$5,$H68&gt;=X$4),"■","")</f>
        <v>■</v>
      </c>
      <c r="Y68" s="11" t="str">
        <f aca="false">IF(AND($G68&lt;=Y$5,$H68&gt;=Y$4),"■","")</f>
        <v>■</v>
      </c>
      <c r="Z68" s="11" t="str">
        <f aca="false">IF(AND($G68&lt;=Z$5,$H68&gt;=Z$4),"■","")</f>
        <v/>
      </c>
      <c r="AA68" s="11" t="str">
        <f aca="false">IF(AND($G68&lt;=AA$5,$H68&gt;=AA$4),"■","")</f>
        <v/>
      </c>
      <c r="AB68" s="11" t="str">
        <f aca="false">IF(AND($G68&lt;=AB$5,$H68&gt;=AB$4),"■","")</f>
        <v/>
      </c>
    </row>
    <row r="69" customFormat="false" ht="23.85" hidden="false" customHeight="false" outlineLevel="0" collapsed="false">
      <c r="A69" s="4" t="s">
        <v>648</v>
      </c>
      <c r="B69" s="4" t="s">
        <v>602</v>
      </c>
      <c r="C69" s="4" t="s">
        <v>649</v>
      </c>
      <c r="D69" s="4" t="s">
        <v>650</v>
      </c>
      <c r="E69" s="4" t="s">
        <v>34</v>
      </c>
      <c r="F69" s="15" t="s">
        <v>414</v>
      </c>
      <c r="G69" s="10" t="n">
        <v>45</v>
      </c>
      <c r="H69" s="10" t="n">
        <v>70</v>
      </c>
      <c r="I69" s="16" t="n">
        <f aca="false">IF(OR(LEFT($B69,2)="P0",$H69&lt;=$G$3),$H69,IF(LEFT($B69,2)="P9",$H69-$E$3+$C$3,ROUND($H69*$C$3/$E$3,0)))</f>
        <v>70</v>
      </c>
      <c r="J69" s="4"/>
      <c r="K69" s="4" t="s">
        <v>557</v>
      </c>
      <c r="L69" s="4" t="s">
        <v>529</v>
      </c>
      <c r="M69" s="4" t="s">
        <v>553</v>
      </c>
      <c r="N69" s="11" t="str">
        <f aca="false">IF(AND($G69&lt;=N$5,$H69&gt;=N$4),"■","")</f>
        <v/>
      </c>
      <c r="O69" s="11" t="str">
        <f aca="false">IF(AND($G69&lt;=O$5,$H69&gt;=O$4),"■","")</f>
        <v/>
      </c>
      <c r="P69" s="11" t="str">
        <f aca="false">IF(AND($G69&lt;=P$5,$H69&gt;=P$4),"■","")</f>
        <v/>
      </c>
      <c r="Q69" s="11" t="str">
        <f aca="false">IF(AND($G69&lt;=Q$5,$H69&gt;=Q$4),"■","")</f>
        <v/>
      </c>
      <c r="R69" s="11" t="str">
        <f aca="false">IF(AND($G69&lt;=R$5,$H69&gt;=R$4),"■","")</f>
        <v/>
      </c>
      <c r="S69" s="11" t="str">
        <f aca="false">IF(AND($G69&lt;=S$5,$H69&gt;=S$4),"■","")</f>
        <v/>
      </c>
      <c r="T69" s="11" t="str">
        <f aca="false">IF(AND($G69&lt;=T$5,$H69&gt;=T$4),"■","")</f>
        <v/>
      </c>
      <c r="U69" s="11" t="str">
        <f aca="false">IF(AND($G69&lt;=U$5,$H69&gt;=U$4),"■","")</f>
        <v>■</v>
      </c>
      <c r="V69" s="11" t="str">
        <f aca="false">IF(AND($G69&lt;=V$5,$H69&gt;=V$4),"■","")</f>
        <v>■</v>
      </c>
      <c r="W69" s="11" t="str">
        <f aca="false">IF(AND($G69&lt;=W$5,$H69&gt;=W$4),"■","")</f>
        <v>■</v>
      </c>
      <c r="X69" s="11" t="str">
        <f aca="false">IF(AND($G69&lt;=X$5,$H69&gt;=X$4),"■","")</f>
        <v>■</v>
      </c>
      <c r="Y69" s="11" t="str">
        <f aca="false">IF(AND($G69&lt;=Y$5,$H69&gt;=Y$4),"■","")</f>
        <v>■</v>
      </c>
      <c r="Z69" s="11" t="str">
        <f aca="false">IF(AND($G69&lt;=Z$5,$H69&gt;=Z$4),"■","")</f>
        <v/>
      </c>
      <c r="AA69" s="11" t="str">
        <f aca="false">IF(AND($G69&lt;=AA$5,$H69&gt;=AA$4),"■","")</f>
        <v/>
      </c>
      <c r="AB69" s="11" t="str">
        <f aca="false">IF(AND($G69&lt;=AB$5,$H69&gt;=AB$4),"■","")</f>
        <v/>
      </c>
    </row>
    <row r="70" customFormat="false" ht="23.85" hidden="false" customHeight="false" outlineLevel="0" collapsed="false">
      <c r="A70" s="4" t="s">
        <v>651</v>
      </c>
      <c r="B70" s="4" t="s">
        <v>602</v>
      </c>
      <c r="C70" s="4" t="s">
        <v>652</v>
      </c>
      <c r="D70" s="4" t="s">
        <v>653</v>
      </c>
      <c r="E70" s="4" t="s">
        <v>34</v>
      </c>
      <c r="F70" s="15" t="s">
        <v>428</v>
      </c>
      <c r="G70" s="10" t="n">
        <v>21</v>
      </c>
      <c r="H70" s="10" t="n">
        <v>40</v>
      </c>
      <c r="I70" s="16" t="n">
        <f aca="false">IF(OR(LEFT($B70,2)="P0",$H70&lt;=$G$3),$H70,IF(LEFT($B70,2)="P9",$H70-$E$3+$C$3,ROUND($H70*$C$3/$E$3,0)))</f>
        <v>40</v>
      </c>
      <c r="J70" s="4"/>
      <c r="K70" s="4" t="s">
        <v>654</v>
      </c>
      <c r="L70" s="4" t="s">
        <v>655</v>
      </c>
      <c r="M70" s="4" t="s">
        <v>569</v>
      </c>
      <c r="N70" s="11" t="str">
        <f aca="false">IF(AND($G70&lt;=N$5,$H70&gt;=N$4),"■","")</f>
        <v/>
      </c>
      <c r="O70" s="11" t="str">
        <f aca="false">IF(AND($G70&lt;=O$5,$H70&gt;=O$4),"■","")</f>
        <v/>
      </c>
      <c r="P70" s="11" t="str">
        <f aca="false">IF(AND($G70&lt;=P$5,$H70&gt;=P$4),"■","")</f>
        <v/>
      </c>
      <c r="Q70" s="11" t="str">
        <f aca="false">IF(AND($G70&lt;=Q$5,$H70&gt;=Q$4),"■","")</f>
        <v/>
      </c>
      <c r="R70" s="11" t="str">
        <f aca="false">IF(AND($G70&lt;=R$5,$H70&gt;=R$4),"■","")</f>
        <v>■</v>
      </c>
      <c r="S70" s="11" t="str">
        <f aca="false">IF(AND($G70&lt;=S$5,$H70&gt;=S$4),"■","")</f>
        <v>■</v>
      </c>
      <c r="T70" s="11" t="str">
        <f aca="false">IF(AND($G70&lt;=T$5,$H70&gt;=T$4),"■","")</f>
        <v>■</v>
      </c>
      <c r="U70" s="11" t="str">
        <f aca="false">IF(AND($G70&lt;=U$5,$H70&gt;=U$4),"■","")</f>
        <v/>
      </c>
      <c r="V70" s="11" t="str">
        <f aca="false">IF(AND($G70&lt;=V$5,$H70&gt;=V$4),"■","")</f>
        <v/>
      </c>
      <c r="W70" s="11" t="str">
        <f aca="false">IF(AND($G70&lt;=W$5,$H70&gt;=W$4),"■","")</f>
        <v/>
      </c>
      <c r="X70" s="11" t="str">
        <f aca="false">IF(AND($G70&lt;=X$5,$H70&gt;=X$4),"■","")</f>
        <v/>
      </c>
      <c r="Y70" s="11" t="str">
        <f aca="false">IF(AND($G70&lt;=Y$5,$H70&gt;=Y$4),"■","")</f>
        <v/>
      </c>
      <c r="Z70" s="11" t="str">
        <f aca="false">IF(AND($G70&lt;=Z$5,$H70&gt;=Z$4),"■","")</f>
        <v/>
      </c>
      <c r="AA70" s="11" t="str">
        <f aca="false">IF(AND($G70&lt;=AA$5,$H70&gt;=AA$4),"■","")</f>
        <v/>
      </c>
      <c r="AB70" s="11" t="str">
        <f aca="false">IF(AND($G70&lt;=AB$5,$H70&gt;=AB$4),"■","")</f>
        <v/>
      </c>
    </row>
    <row r="71" customFormat="false" ht="23.85" hidden="false" customHeight="false" outlineLevel="0" collapsed="false">
      <c r="A71" s="4" t="s">
        <v>656</v>
      </c>
      <c r="B71" s="4" t="s">
        <v>602</v>
      </c>
      <c r="C71" s="4" t="s">
        <v>657</v>
      </c>
      <c r="D71" s="4" t="s">
        <v>658</v>
      </c>
      <c r="E71" s="4" t="s">
        <v>34</v>
      </c>
      <c r="F71" s="15" t="s">
        <v>428</v>
      </c>
      <c r="G71" s="10" t="n">
        <v>28</v>
      </c>
      <c r="H71" s="10" t="n">
        <v>50</v>
      </c>
      <c r="I71" s="16" t="n">
        <f aca="false">IF(OR(LEFT($B71,2)="P0",$H71&lt;=$G$3),$H71,IF(LEFT($B71,2)="P9",$H71-$E$3+$C$3,ROUND($H71*$C$3/$E$3,0)))</f>
        <v>50</v>
      </c>
      <c r="J71" s="4"/>
      <c r="K71" s="4" t="s">
        <v>651</v>
      </c>
      <c r="L71" s="4" t="s">
        <v>659</v>
      </c>
      <c r="M71" s="4" t="s">
        <v>569</v>
      </c>
      <c r="N71" s="11" t="str">
        <f aca="false">IF(AND($G71&lt;=N$5,$H71&gt;=N$4),"■","")</f>
        <v/>
      </c>
      <c r="O71" s="11" t="str">
        <f aca="false">IF(AND($G71&lt;=O$5,$H71&gt;=O$4),"■","")</f>
        <v/>
      </c>
      <c r="P71" s="11" t="str">
        <f aca="false">IF(AND($G71&lt;=P$5,$H71&gt;=P$4),"■","")</f>
        <v/>
      </c>
      <c r="Q71" s="11" t="str">
        <f aca="false">IF(AND($G71&lt;=Q$5,$H71&gt;=Q$4),"■","")</f>
        <v/>
      </c>
      <c r="R71" s="11" t="str">
        <f aca="false">IF(AND($G71&lt;=R$5,$H71&gt;=R$4),"■","")</f>
        <v/>
      </c>
      <c r="S71" s="11" t="str">
        <f aca="false">IF(AND($G71&lt;=S$5,$H71&gt;=S$4),"■","")</f>
        <v>■</v>
      </c>
      <c r="T71" s="11" t="str">
        <f aca="false">IF(AND($G71&lt;=T$5,$H71&gt;=T$4),"■","")</f>
        <v>■</v>
      </c>
      <c r="U71" s="11" t="str">
        <f aca="false">IF(AND($G71&lt;=U$5,$H71&gt;=U$4),"■","")</f>
        <v>■</v>
      </c>
      <c r="V71" s="11" t="str">
        <f aca="false">IF(AND($G71&lt;=V$5,$H71&gt;=V$4),"■","")</f>
        <v>■</v>
      </c>
      <c r="W71" s="11" t="str">
        <f aca="false">IF(AND($G71&lt;=W$5,$H71&gt;=W$4),"■","")</f>
        <v/>
      </c>
      <c r="X71" s="11" t="str">
        <f aca="false">IF(AND($G71&lt;=X$5,$H71&gt;=X$4),"■","")</f>
        <v/>
      </c>
      <c r="Y71" s="11" t="str">
        <f aca="false">IF(AND($G71&lt;=Y$5,$H71&gt;=Y$4),"■","")</f>
        <v/>
      </c>
      <c r="Z71" s="11" t="str">
        <f aca="false">IF(AND($G71&lt;=Z$5,$H71&gt;=Z$4),"■","")</f>
        <v/>
      </c>
      <c r="AA71" s="11" t="str">
        <f aca="false">IF(AND($G71&lt;=AA$5,$H71&gt;=AA$4),"■","")</f>
        <v/>
      </c>
      <c r="AB71" s="11" t="str">
        <f aca="false">IF(AND($G71&lt;=AB$5,$H71&gt;=AB$4),"■","")</f>
        <v/>
      </c>
    </row>
    <row r="72" customFormat="false" ht="23.85" hidden="false" customHeight="false" outlineLevel="0" collapsed="false">
      <c r="A72" s="4" t="s">
        <v>660</v>
      </c>
      <c r="B72" s="4" t="s">
        <v>602</v>
      </c>
      <c r="C72" s="4" t="s">
        <v>661</v>
      </c>
      <c r="D72" s="4" t="s">
        <v>662</v>
      </c>
      <c r="E72" s="4" t="s">
        <v>34</v>
      </c>
      <c r="F72" s="15" t="s">
        <v>414</v>
      </c>
      <c r="G72" s="10" t="n">
        <v>35</v>
      </c>
      <c r="H72" s="10" t="n">
        <v>55</v>
      </c>
      <c r="I72" s="16" t="n">
        <f aca="false">IF(OR(LEFT($B72,2)="P0",$H72&lt;=$G$3),$H72,IF(LEFT($B72,2)="P9",$H72-$E$3+$C$3,ROUND($H72*$C$3/$E$3,0)))</f>
        <v>55</v>
      </c>
      <c r="J72" s="4"/>
      <c r="K72" s="4" t="s">
        <v>570</v>
      </c>
      <c r="L72" s="4" t="s">
        <v>663</v>
      </c>
      <c r="M72" s="4" t="s">
        <v>569</v>
      </c>
      <c r="N72" s="11" t="str">
        <f aca="false">IF(AND($G72&lt;=N$5,$H72&gt;=N$4),"■","")</f>
        <v/>
      </c>
      <c r="O72" s="11" t="str">
        <f aca="false">IF(AND($G72&lt;=O$5,$H72&gt;=O$4),"■","")</f>
        <v/>
      </c>
      <c r="P72" s="11" t="str">
        <f aca="false">IF(AND($G72&lt;=P$5,$H72&gt;=P$4),"■","")</f>
        <v/>
      </c>
      <c r="Q72" s="11" t="str">
        <f aca="false">IF(AND($G72&lt;=Q$5,$H72&gt;=Q$4),"■","")</f>
        <v/>
      </c>
      <c r="R72" s="11" t="str">
        <f aca="false">IF(AND($G72&lt;=R$5,$H72&gt;=R$4),"■","")</f>
        <v/>
      </c>
      <c r="S72" s="11" t="str">
        <f aca="false">IF(AND($G72&lt;=S$5,$H72&gt;=S$4),"■","")</f>
        <v/>
      </c>
      <c r="T72" s="11" t="str">
        <f aca="false">IF(AND($G72&lt;=T$5,$H72&gt;=T$4),"■","")</f>
        <v>■</v>
      </c>
      <c r="U72" s="11" t="str">
        <f aca="false">IF(AND($G72&lt;=U$5,$H72&gt;=U$4),"■","")</f>
        <v>■</v>
      </c>
      <c r="V72" s="11" t="str">
        <f aca="false">IF(AND($G72&lt;=V$5,$H72&gt;=V$4),"■","")</f>
        <v>■</v>
      </c>
      <c r="W72" s="11" t="str">
        <f aca="false">IF(AND($G72&lt;=W$5,$H72&gt;=W$4),"■","")</f>
        <v/>
      </c>
      <c r="X72" s="11" t="str">
        <f aca="false">IF(AND($G72&lt;=X$5,$H72&gt;=X$4),"■","")</f>
        <v/>
      </c>
      <c r="Y72" s="11" t="str">
        <f aca="false">IF(AND($G72&lt;=Y$5,$H72&gt;=Y$4),"■","")</f>
        <v/>
      </c>
      <c r="Z72" s="11" t="str">
        <f aca="false">IF(AND($G72&lt;=Z$5,$H72&gt;=Z$4),"■","")</f>
        <v/>
      </c>
      <c r="AA72" s="11" t="str">
        <f aca="false">IF(AND($G72&lt;=AA$5,$H72&gt;=AA$4),"■","")</f>
        <v/>
      </c>
      <c r="AB72" s="11" t="str">
        <f aca="false">IF(AND($G72&lt;=AB$5,$H72&gt;=AB$4),"■","")</f>
        <v/>
      </c>
    </row>
    <row r="73" customFormat="false" ht="23.85" hidden="false" customHeight="false" outlineLevel="0" collapsed="false">
      <c r="A73" s="4" t="s">
        <v>664</v>
      </c>
      <c r="B73" s="4" t="s">
        <v>602</v>
      </c>
      <c r="C73" s="4" t="s">
        <v>665</v>
      </c>
      <c r="D73" s="4" t="s">
        <v>666</v>
      </c>
      <c r="E73" s="4" t="s">
        <v>34</v>
      </c>
      <c r="F73" s="15" t="s">
        <v>428</v>
      </c>
      <c r="G73" s="10" t="n">
        <v>35</v>
      </c>
      <c r="H73" s="10" t="n">
        <v>60</v>
      </c>
      <c r="I73" s="16" t="n">
        <f aca="false">IF(OR(LEFT($B73,2)="P0",$H73&lt;=$G$3),$H73,IF(LEFT($B73,2)="P9",$H73-$E$3+$C$3,ROUND($H73*$C$3/$E$3,0)))</f>
        <v>60</v>
      </c>
      <c r="J73" s="4"/>
      <c r="K73" s="4" t="s">
        <v>576</v>
      </c>
      <c r="L73" s="4" t="s">
        <v>667</v>
      </c>
      <c r="M73" s="4" t="s">
        <v>569</v>
      </c>
      <c r="N73" s="11" t="str">
        <f aca="false">IF(AND($G73&lt;=N$5,$H73&gt;=N$4),"■","")</f>
        <v/>
      </c>
      <c r="O73" s="11" t="str">
        <f aca="false">IF(AND($G73&lt;=O$5,$H73&gt;=O$4),"■","")</f>
        <v/>
      </c>
      <c r="P73" s="11" t="str">
        <f aca="false">IF(AND($G73&lt;=P$5,$H73&gt;=P$4),"■","")</f>
        <v/>
      </c>
      <c r="Q73" s="11" t="str">
        <f aca="false">IF(AND($G73&lt;=Q$5,$H73&gt;=Q$4),"■","")</f>
        <v/>
      </c>
      <c r="R73" s="11" t="str">
        <f aca="false">IF(AND($G73&lt;=R$5,$H73&gt;=R$4),"■","")</f>
        <v/>
      </c>
      <c r="S73" s="11" t="str">
        <f aca="false">IF(AND($G73&lt;=S$5,$H73&gt;=S$4),"■","")</f>
        <v/>
      </c>
      <c r="T73" s="11" t="str">
        <f aca="false">IF(AND($G73&lt;=T$5,$H73&gt;=T$4),"■","")</f>
        <v>■</v>
      </c>
      <c r="U73" s="11" t="str">
        <f aca="false">IF(AND($G73&lt;=U$5,$H73&gt;=U$4),"■","")</f>
        <v>■</v>
      </c>
      <c r="V73" s="11" t="str">
        <f aca="false">IF(AND($G73&lt;=V$5,$H73&gt;=V$4),"■","")</f>
        <v>■</v>
      </c>
      <c r="W73" s="11" t="str">
        <f aca="false">IF(AND($G73&lt;=W$5,$H73&gt;=W$4),"■","")</f>
        <v>■</v>
      </c>
      <c r="X73" s="11" t="str">
        <f aca="false">IF(AND($G73&lt;=X$5,$H73&gt;=X$4),"■","")</f>
        <v/>
      </c>
      <c r="Y73" s="11" t="str">
        <f aca="false">IF(AND($G73&lt;=Y$5,$H73&gt;=Y$4),"■","")</f>
        <v/>
      </c>
      <c r="Z73" s="11" t="str">
        <f aca="false">IF(AND($G73&lt;=Z$5,$H73&gt;=Z$4),"■","")</f>
        <v/>
      </c>
      <c r="AA73" s="11" t="str">
        <f aca="false">IF(AND($G73&lt;=AA$5,$H73&gt;=AA$4),"■","")</f>
        <v/>
      </c>
      <c r="AB73" s="11" t="str">
        <f aca="false">IF(AND($G73&lt;=AB$5,$H73&gt;=AB$4),"■","")</f>
        <v/>
      </c>
    </row>
    <row r="74" customFormat="false" ht="23.85" hidden="false" customHeight="false" outlineLevel="0" collapsed="false">
      <c r="A74" s="4" t="s">
        <v>668</v>
      </c>
      <c r="B74" s="4" t="s">
        <v>602</v>
      </c>
      <c r="C74" s="4" t="s">
        <v>669</v>
      </c>
      <c r="D74" s="4" t="s">
        <v>670</v>
      </c>
      <c r="E74" s="4" t="s">
        <v>34</v>
      </c>
      <c r="F74" s="15" t="s">
        <v>428</v>
      </c>
      <c r="G74" s="10" t="n">
        <v>30</v>
      </c>
      <c r="H74" s="10" t="n">
        <v>55</v>
      </c>
      <c r="I74" s="16" t="n">
        <f aca="false">IF(OR(LEFT($B74,2)="P0",$H74&lt;=$G$3),$H74,IF(LEFT($B74,2)="P9",$H74-$E$3+$C$3,ROUND($H74*$C$3/$E$3,0)))</f>
        <v>55</v>
      </c>
      <c r="J74" s="4"/>
      <c r="K74" s="4" t="s">
        <v>651</v>
      </c>
      <c r="L74" s="4" t="s">
        <v>529</v>
      </c>
      <c r="M74" s="4" t="s">
        <v>569</v>
      </c>
      <c r="N74" s="11" t="str">
        <f aca="false">IF(AND($G74&lt;=N$5,$H74&gt;=N$4),"■","")</f>
        <v/>
      </c>
      <c r="O74" s="11" t="str">
        <f aca="false">IF(AND($G74&lt;=O$5,$H74&gt;=O$4),"■","")</f>
        <v/>
      </c>
      <c r="P74" s="11" t="str">
        <f aca="false">IF(AND($G74&lt;=P$5,$H74&gt;=P$4),"■","")</f>
        <v/>
      </c>
      <c r="Q74" s="11" t="str">
        <f aca="false">IF(AND($G74&lt;=Q$5,$H74&gt;=Q$4),"■","")</f>
        <v/>
      </c>
      <c r="R74" s="11" t="str">
        <f aca="false">IF(AND($G74&lt;=R$5,$H74&gt;=R$4),"■","")</f>
        <v/>
      </c>
      <c r="S74" s="11" t="str">
        <f aca="false">IF(AND($G74&lt;=S$5,$H74&gt;=S$4),"■","")</f>
        <v>■</v>
      </c>
      <c r="T74" s="11" t="str">
        <f aca="false">IF(AND($G74&lt;=T$5,$H74&gt;=T$4),"■","")</f>
        <v>■</v>
      </c>
      <c r="U74" s="11" t="str">
        <f aca="false">IF(AND($G74&lt;=U$5,$H74&gt;=U$4),"■","")</f>
        <v>■</v>
      </c>
      <c r="V74" s="11" t="str">
        <f aca="false">IF(AND($G74&lt;=V$5,$H74&gt;=V$4),"■","")</f>
        <v>■</v>
      </c>
      <c r="W74" s="11" t="str">
        <f aca="false">IF(AND($G74&lt;=W$5,$H74&gt;=W$4),"■","")</f>
        <v/>
      </c>
      <c r="X74" s="11" t="str">
        <f aca="false">IF(AND($G74&lt;=X$5,$H74&gt;=X$4),"■","")</f>
        <v/>
      </c>
      <c r="Y74" s="11" t="str">
        <f aca="false">IF(AND($G74&lt;=Y$5,$H74&gt;=Y$4),"■","")</f>
        <v/>
      </c>
      <c r="Z74" s="11" t="str">
        <f aca="false">IF(AND($G74&lt;=Z$5,$H74&gt;=Z$4),"■","")</f>
        <v/>
      </c>
      <c r="AA74" s="11" t="str">
        <f aca="false">IF(AND($G74&lt;=AA$5,$H74&gt;=AA$4),"■","")</f>
        <v/>
      </c>
      <c r="AB74" s="11" t="str">
        <f aca="false">IF(AND($G74&lt;=AB$5,$H74&gt;=AB$4),"■","")</f>
        <v/>
      </c>
    </row>
    <row r="75" customFormat="false" ht="15" hidden="false" customHeight="false" outlineLevel="0" collapsed="false">
      <c r="A75" s="4" t="s">
        <v>671</v>
      </c>
      <c r="B75" s="4" t="s">
        <v>602</v>
      </c>
      <c r="C75" s="4" t="s">
        <v>672</v>
      </c>
      <c r="D75" s="4" t="s">
        <v>673</v>
      </c>
      <c r="E75" s="4" t="s">
        <v>34</v>
      </c>
      <c r="F75" s="15" t="s">
        <v>428</v>
      </c>
      <c r="G75" s="10" t="n">
        <v>45</v>
      </c>
      <c r="H75" s="10" t="n">
        <v>70</v>
      </c>
      <c r="I75" s="16" t="n">
        <f aca="false">IF(OR(LEFT($B75,2)="P0",$H75&lt;=$G$3),$H75,IF(LEFT($B75,2)="P9",$H75-$E$3+$C$3,ROUND($H75*$C$3/$E$3,0)))</f>
        <v>70</v>
      </c>
      <c r="J75" s="4"/>
      <c r="K75" s="4" t="s">
        <v>539</v>
      </c>
      <c r="L75" s="4" t="s">
        <v>542</v>
      </c>
      <c r="M75" s="4" t="s">
        <v>569</v>
      </c>
      <c r="N75" s="11" t="str">
        <f aca="false">IF(AND($G75&lt;=N$5,$H75&gt;=N$4),"■","")</f>
        <v/>
      </c>
      <c r="O75" s="11" t="str">
        <f aca="false">IF(AND($G75&lt;=O$5,$H75&gt;=O$4),"■","")</f>
        <v/>
      </c>
      <c r="P75" s="11" t="str">
        <f aca="false">IF(AND($G75&lt;=P$5,$H75&gt;=P$4),"■","")</f>
        <v/>
      </c>
      <c r="Q75" s="11" t="str">
        <f aca="false">IF(AND($G75&lt;=Q$5,$H75&gt;=Q$4),"■","")</f>
        <v/>
      </c>
      <c r="R75" s="11" t="str">
        <f aca="false">IF(AND($G75&lt;=R$5,$H75&gt;=R$4),"■","")</f>
        <v/>
      </c>
      <c r="S75" s="11" t="str">
        <f aca="false">IF(AND($G75&lt;=S$5,$H75&gt;=S$4),"■","")</f>
        <v/>
      </c>
      <c r="T75" s="11" t="str">
        <f aca="false">IF(AND($G75&lt;=T$5,$H75&gt;=T$4),"■","")</f>
        <v/>
      </c>
      <c r="U75" s="11" t="str">
        <f aca="false">IF(AND($G75&lt;=U$5,$H75&gt;=U$4),"■","")</f>
        <v>■</v>
      </c>
      <c r="V75" s="11" t="str">
        <f aca="false">IF(AND($G75&lt;=V$5,$H75&gt;=V$4),"■","")</f>
        <v>■</v>
      </c>
      <c r="W75" s="11" t="str">
        <f aca="false">IF(AND($G75&lt;=W$5,$H75&gt;=W$4),"■","")</f>
        <v>■</v>
      </c>
      <c r="X75" s="11" t="str">
        <f aca="false">IF(AND($G75&lt;=X$5,$H75&gt;=X$4),"■","")</f>
        <v>■</v>
      </c>
      <c r="Y75" s="11" t="str">
        <f aca="false">IF(AND($G75&lt;=Y$5,$H75&gt;=Y$4),"■","")</f>
        <v>■</v>
      </c>
      <c r="Z75" s="11" t="str">
        <f aca="false">IF(AND($G75&lt;=Z$5,$H75&gt;=Z$4),"■","")</f>
        <v/>
      </c>
      <c r="AA75" s="11" t="str">
        <f aca="false">IF(AND($G75&lt;=AA$5,$H75&gt;=AA$4),"■","")</f>
        <v/>
      </c>
      <c r="AB75" s="11" t="str">
        <f aca="false">IF(AND($G75&lt;=AB$5,$H75&gt;=AB$4),"■","")</f>
        <v/>
      </c>
    </row>
    <row r="76" customFormat="false" ht="23.85" hidden="false" customHeight="false" outlineLevel="0" collapsed="false">
      <c r="A76" s="4" t="s">
        <v>674</v>
      </c>
      <c r="B76" s="4" t="s">
        <v>602</v>
      </c>
      <c r="C76" s="4" t="s">
        <v>675</v>
      </c>
      <c r="D76" s="4" t="s">
        <v>676</v>
      </c>
      <c r="E76" s="4" t="s">
        <v>34</v>
      </c>
      <c r="F76" s="15" t="s">
        <v>414</v>
      </c>
      <c r="G76" s="10" t="n">
        <v>45</v>
      </c>
      <c r="H76" s="10" t="n">
        <v>70</v>
      </c>
      <c r="I76" s="16" t="n">
        <f aca="false">IF(OR(LEFT($B76,2)="P0",$H76&lt;=$G$3),$H76,IF(LEFT($B76,2)="P9",$H76-$E$3+$C$3,ROUND($H76*$C$3/$E$3,0)))</f>
        <v>70</v>
      </c>
      <c r="J76" s="4"/>
      <c r="K76" s="4" t="s">
        <v>566</v>
      </c>
      <c r="L76" s="4" t="s">
        <v>529</v>
      </c>
      <c r="M76" s="4" t="s">
        <v>569</v>
      </c>
      <c r="N76" s="11" t="str">
        <f aca="false">IF(AND($G76&lt;=N$5,$H76&gt;=N$4),"■","")</f>
        <v/>
      </c>
      <c r="O76" s="11" t="str">
        <f aca="false">IF(AND($G76&lt;=O$5,$H76&gt;=O$4),"■","")</f>
        <v/>
      </c>
      <c r="P76" s="11" t="str">
        <f aca="false">IF(AND($G76&lt;=P$5,$H76&gt;=P$4),"■","")</f>
        <v/>
      </c>
      <c r="Q76" s="11" t="str">
        <f aca="false">IF(AND($G76&lt;=Q$5,$H76&gt;=Q$4),"■","")</f>
        <v/>
      </c>
      <c r="R76" s="11" t="str">
        <f aca="false">IF(AND($G76&lt;=R$5,$H76&gt;=R$4),"■","")</f>
        <v/>
      </c>
      <c r="S76" s="11" t="str">
        <f aca="false">IF(AND($G76&lt;=S$5,$H76&gt;=S$4),"■","")</f>
        <v/>
      </c>
      <c r="T76" s="11" t="str">
        <f aca="false">IF(AND($G76&lt;=T$5,$H76&gt;=T$4),"■","")</f>
        <v/>
      </c>
      <c r="U76" s="11" t="str">
        <f aca="false">IF(AND($G76&lt;=U$5,$H76&gt;=U$4),"■","")</f>
        <v>■</v>
      </c>
      <c r="V76" s="11" t="str">
        <f aca="false">IF(AND($G76&lt;=V$5,$H76&gt;=V$4),"■","")</f>
        <v>■</v>
      </c>
      <c r="W76" s="11" t="str">
        <f aca="false">IF(AND($G76&lt;=W$5,$H76&gt;=W$4),"■","")</f>
        <v>■</v>
      </c>
      <c r="X76" s="11" t="str">
        <f aca="false">IF(AND($G76&lt;=X$5,$H76&gt;=X$4),"■","")</f>
        <v>■</v>
      </c>
      <c r="Y76" s="11" t="str">
        <f aca="false">IF(AND($G76&lt;=Y$5,$H76&gt;=Y$4),"■","")</f>
        <v>■</v>
      </c>
      <c r="Z76" s="11" t="str">
        <f aca="false">IF(AND($G76&lt;=Z$5,$H76&gt;=Z$4),"■","")</f>
        <v/>
      </c>
      <c r="AA76" s="11" t="str">
        <f aca="false">IF(AND($G76&lt;=AA$5,$H76&gt;=AA$4),"■","")</f>
        <v/>
      </c>
      <c r="AB76" s="11" t="str">
        <f aca="false">IF(AND($G76&lt;=AB$5,$H76&gt;=AB$4),"■","")</f>
        <v/>
      </c>
    </row>
    <row r="77" customFormat="false" ht="35.05" hidden="false" customHeight="false" outlineLevel="0" collapsed="false">
      <c r="A77" s="4" t="s">
        <v>677</v>
      </c>
      <c r="B77" s="4" t="s">
        <v>602</v>
      </c>
      <c r="C77" s="4" t="s">
        <v>678</v>
      </c>
      <c r="D77" s="4" t="s">
        <v>679</v>
      </c>
      <c r="E77" s="4" t="s">
        <v>34</v>
      </c>
      <c r="F77" s="15" t="s">
        <v>428</v>
      </c>
      <c r="G77" s="10" t="n">
        <v>21</v>
      </c>
      <c r="H77" s="10" t="n">
        <v>45</v>
      </c>
      <c r="I77" s="16" t="n">
        <f aca="false">IF(OR(LEFT($B77,2)="P0",$H77&lt;=$G$3),$H77,IF(LEFT($B77,2)="P9",$H77-$E$3+$C$3,ROUND($H77*$C$3/$E$3,0)))</f>
        <v>45</v>
      </c>
      <c r="J77" s="4"/>
      <c r="K77" s="4" t="s">
        <v>680</v>
      </c>
      <c r="L77" s="4" t="s">
        <v>681</v>
      </c>
      <c r="M77" s="4" t="s">
        <v>588</v>
      </c>
      <c r="N77" s="11" t="str">
        <f aca="false">IF(AND($G77&lt;=N$5,$H77&gt;=N$4),"■","")</f>
        <v/>
      </c>
      <c r="O77" s="11" t="str">
        <f aca="false">IF(AND($G77&lt;=O$5,$H77&gt;=O$4),"■","")</f>
        <v/>
      </c>
      <c r="P77" s="11" t="str">
        <f aca="false">IF(AND($G77&lt;=P$5,$H77&gt;=P$4),"■","")</f>
        <v/>
      </c>
      <c r="Q77" s="11" t="str">
        <f aca="false">IF(AND($G77&lt;=Q$5,$H77&gt;=Q$4),"■","")</f>
        <v/>
      </c>
      <c r="R77" s="11" t="str">
        <f aca="false">IF(AND($G77&lt;=R$5,$H77&gt;=R$4),"■","")</f>
        <v>■</v>
      </c>
      <c r="S77" s="11" t="str">
        <f aca="false">IF(AND($G77&lt;=S$5,$H77&gt;=S$4),"■","")</f>
        <v>■</v>
      </c>
      <c r="T77" s="11" t="str">
        <f aca="false">IF(AND($G77&lt;=T$5,$H77&gt;=T$4),"■","")</f>
        <v>■</v>
      </c>
      <c r="U77" s="11" t="str">
        <f aca="false">IF(AND($G77&lt;=U$5,$H77&gt;=U$4),"■","")</f>
        <v>■</v>
      </c>
      <c r="V77" s="11" t="str">
        <f aca="false">IF(AND($G77&lt;=V$5,$H77&gt;=V$4),"■","")</f>
        <v/>
      </c>
      <c r="W77" s="11" t="str">
        <f aca="false">IF(AND($G77&lt;=W$5,$H77&gt;=W$4),"■","")</f>
        <v/>
      </c>
      <c r="X77" s="11" t="str">
        <f aca="false">IF(AND($G77&lt;=X$5,$H77&gt;=X$4),"■","")</f>
        <v/>
      </c>
      <c r="Y77" s="11" t="str">
        <f aca="false">IF(AND($G77&lt;=Y$5,$H77&gt;=Y$4),"■","")</f>
        <v/>
      </c>
      <c r="Z77" s="11" t="str">
        <f aca="false">IF(AND($G77&lt;=Z$5,$H77&gt;=Z$4),"■","")</f>
        <v/>
      </c>
      <c r="AA77" s="11" t="str">
        <f aca="false">IF(AND($G77&lt;=AA$5,$H77&gt;=AA$4),"■","")</f>
        <v/>
      </c>
      <c r="AB77" s="11" t="str">
        <f aca="false">IF(AND($G77&lt;=AB$5,$H77&gt;=AB$4),"■","")</f>
        <v/>
      </c>
    </row>
    <row r="78" customFormat="false" ht="35.05" hidden="false" customHeight="false" outlineLevel="0" collapsed="false">
      <c r="A78" s="4" t="s">
        <v>682</v>
      </c>
      <c r="B78" s="4" t="s">
        <v>602</v>
      </c>
      <c r="C78" s="4" t="s">
        <v>683</v>
      </c>
      <c r="D78" s="4" t="s">
        <v>684</v>
      </c>
      <c r="E78" s="4" t="s">
        <v>34</v>
      </c>
      <c r="F78" s="15" t="s">
        <v>428</v>
      </c>
      <c r="G78" s="10" t="n">
        <v>30</v>
      </c>
      <c r="H78" s="10" t="n">
        <v>60</v>
      </c>
      <c r="I78" s="16" t="n">
        <f aca="false">IF(OR(LEFT($B78,2)="P0",$H78&lt;=$G$3),$H78,IF(LEFT($B78,2)="P9",$H78-$E$3+$C$3,ROUND($H78*$C$3/$E$3,0)))</f>
        <v>60</v>
      </c>
      <c r="J78" s="4"/>
      <c r="K78" s="4" t="s">
        <v>595</v>
      </c>
      <c r="L78" s="4" t="s">
        <v>685</v>
      </c>
      <c r="M78" s="4" t="s">
        <v>588</v>
      </c>
      <c r="N78" s="11" t="str">
        <f aca="false">IF(AND($G78&lt;=N$5,$H78&gt;=N$4),"■","")</f>
        <v/>
      </c>
      <c r="O78" s="11" t="str">
        <f aca="false">IF(AND($G78&lt;=O$5,$H78&gt;=O$4),"■","")</f>
        <v/>
      </c>
      <c r="P78" s="11" t="str">
        <f aca="false">IF(AND($G78&lt;=P$5,$H78&gt;=P$4),"■","")</f>
        <v/>
      </c>
      <c r="Q78" s="11" t="str">
        <f aca="false">IF(AND($G78&lt;=Q$5,$H78&gt;=Q$4),"■","")</f>
        <v/>
      </c>
      <c r="R78" s="11" t="str">
        <f aca="false">IF(AND($G78&lt;=R$5,$H78&gt;=R$4),"■","")</f>
        <v/>
      </c>
      <c r="S78" s="11" t="str">
        <f aca="false">IF(AND($G78&lt;=S$5,$H78&gt;=S$4),"■","")</f>
        <v>■</v>
      </c>
      <c r="T78" s="11" t="str">
        <f aca="false">IF(AND($G78&lt;=T$5,$H78&gt;=T$4),"■","")</f>
        <v>■</v>
      </c>
      <c r="U78" s="11" t="str">
        <f aca="false">IF(AND($G78&lt;=U$5,$H78&gt;=U$4),"■","")</f>
        <v>■</v>
      </c>
      <c r="V78" s="11" t="str">
        <f aca="false">IF(AND($G78&lt;=V$5,$H78&gt;=V$4),"■","")</f>
        <v>■</v>
      </c>
      <c r="W78" s="11" t="str">
        <f aca="false">IF(AND($G78&lt;=W$5,$H78&gt;=W$4),"■","")</f>
        <v>■</v>
      </c>
      <c r="X78" s="11" t="str">
        <f aca="false">IF(AND($G78&lt;=X$5,$H78&gt;=X$4),"■","")</f>
        <v/>
      </c>
      <c r="Y78" s="11" t="str">
        <f aca="false">IF(AND($G78&lt;=Y$5,$H78&gt;=Y$4),"■","")</f>
        <v/>
      </c>
      <c r="Z78" s="11" t="str">
        <f aca="false">IF(AND($G78&lt;=Z$5,$H78&gt;=Z$4),"■","")</f>
        <v/>
      </c>
      <c r="AA78" s="11" t="str">
        <f aca="false">IF(AND($G78&lt;=AA$5,$H78&gt;=AA$4),"■","")</f>
        <v/>
      </c>
      <c r="AB78" s="11" t="str">
        <f aca="false">IF(AND($G78&lt;=AB$5,$H78&gt;=AB$4),"■","")</f>
        <v/>
      </c>
    </row>
    <row r="79" customFormat="false" ht="35.05" hidden="false" customHeight="false" outlineLevel="0" collapsed="false">
      <c r="A79" s="4" t="s">
        <v>686</v>
      </c>
      <c r="B79" s="4" t="s">
        <v>602</v>
      </c>
      <c r="C79" s="4" t="s">
        <v>687</v>
      </c>
      <c r="D79" s="4" t="s">
        <v>688</v>
      </c>
      <c r="E79" s="4" t="s">
        <v>34</v>
      </c>
      <c r="F79" s="15" t="s">
        <v>428</v>
      </c>
      <c r="G79" s="10" t="n">
        <v>35</v>
      </c>
      <c r="H79" s="10" t="n">
        <v>65</v>
      </c>
      <c r="I79" s="16" t="n">
        <f aca="false">IF(OR(LEFT($B79,2)="P0",$H79&lt;=$G$3),$H79,IF(LEFT($B79,2)="P9",$H79-$E$3+$C$3,ROUND($H79*$C$3/$E$3,0)))</f>
        <v>65</v>
      </c>
      <c r="J79" s="4"/>
      <c r="K79" s="4" t="s">
        <v>585</v>
      </c>
      <c r="L79" s="4" t="s">
        <v>689</v>
      </c>
      <c r="M79" s="4" t="s">
        <v>588</v>
      </c>
      <c r="N79" s="11" t="str">
        <f aca="false">IF(AND($G79&lt;=N$5,$H79&gt;=N$4),"■","")</f>
        <v/>
      </c>
      <c r="O79" s="11" t="str">
        <f aca="false">IF(AND($G79&lt;=O$5,$H79&gt;=O$4),"■","")</f>
        <v/>
      </c>
      <c r="P79" s="11" t="str">
        <f aca="false">IF(AND($G79&lt;=P$5,$H79&gt;=P$4),"■","")</f>
        <v/>
      </c>
      <c r="Q79" s="11" t="str">
        <f aca="false">IF(AND($G79&lt;=Q$5,$H79&gt;=Q$4),"■","")</f>
        <v/>
      </c>
      <c r="R79" s="11" t="str">
        <f aca="false">IF(AND($G79&lt;=R$5,$H79&gt;=R$4),"■","")</f>
        <v/>
      </c>
      <c r="S79" s="11" t="str">
        <f aca="false">IF(AND($G79&lt;=S$5,$H79&gt;=S$4),"■","")</f>
        <v/>
      </c>
      <c r="T79" s="11" t="str">
        <f aca="false">IF(AND($G79&lt;=T$5,$H79&gt;=T$4),"■","")</f>
        <v>■</v>
      </c>
      <c r="U79" s="11" t="str">
        <f aca="false">IF(AND($G79&lt;=U$5,$H79&gt;=U$4),"■","")</f>
        <v>■</v>
      </c>
      <c r="V79" s="11" t="str">
        <f aca="false">IF(AND($G79&lt;=V$5,$H79&gt;=V$4),"■","")</f>
        <v>■</v>
      </c>
      <c r="W79" s="11" t="str">
        <f aca="false">IF(AND($G79&lt;=W$5,$H79&gt;=W$4),"■","")</f>
        <v>■</v>
      </c>
      <c r="X79" s="11" t="str">
        <f aca="false">IF(AND($G79&lt;=X$5,$H79&gt;=X$4),"■","")</f>
        <v>■</v>
      </c>
      <c r="Y79" s="11" t="str">
        <f aca="false">IF(AND($G79&lt;=Y$5,$H79&gt;=Y$4),"■","")</f>
        <v/>
      </c>
      <c r="Z79" s="11" t="str">
        <f aca="false">IF(AND($G79&lt;=Z$5,$H79&gt;=Z$4),"■","")</f>
        <v/>
      </c>
      <c r="AA79" s="11" t="str">
        <f aca="false">IF(AND($G79&lt;=AA$5,$H79&gt;=AA$4),"■","")</f>
        <v/>
      </c>
      <c r="AB79" s="11" t="str">
        <f aca="false">IF(AND($G79&lt;=AB$5,$H79&gt;=AB$4),"■","")</f>
        <v/>
      </c>
    </row>
    <row r="80" customFormat="false" ht="15" hidden="false" customHeight="false" outlineLevel="0" collapsed="false">
      <c r="A80" s="4" t="s">
        <v>690</v>
      </c>
      <c r="B80" s="4" t="s">
        <v>602</v>
      </c>
      <c r="C80" s="4" t="s">
        <v>691</v>
      </c>
      <c r="D80" s="4" t="s">
        <v>692</v>
      </c>
      <c r="E80" s="4" t="s">
        <v>34</v>
      </c>
      <c r="F80" s="15" t="s">
        <v>428</v>
      </c>
      <c r="G80" s="10" t="n">
        <v>45</v>
      </c>
      <c r="H80" s="10" t="n">
        <v>70</v>
      </c>
      <c r="I80" s="16" t="n">
        <f aca="false">IF(OR(LEFT($B80,2)="P0",$H80&lt;=$G$3),$H80,IF(LEFT($B80,2)="P9",$H80-$E$3+$C$3,ROUND($H80*$C$3/$E$3,0)))</f>
        <v>70</v>
      </c>
      <c r="J80" s="4"/>
      <c r="K80" s="4" t="s">
        <v>539</v>
      </c>
      <c r="L80" s="4" t="s">
        <v>542</v>
      </c>
      <c r="M80" s="4" t="s">
        <v>588</v>
      </c>
      <c r="N80" s="11" t="str">
        <f aca="false">IF(AND($G80&lt;=N$5,$H80&gt;=N$4),"■","")</f>
        <v/>
      </c>
      <c r="O80" s="11" t="str">
        <f aca="false">IF(AND($G80&lt;=O$5,$H80&gt;=O$4),"■","")</f>
        <v/>
      </c>
      <c r="P80" s="11" t="str">
        <f aca="false">IF(AND($G80&lt;=P$5,$H80&gt;=P$4),"■","")</f>
        <v/>
      </c>
      <c r="Q80" s="11" t="str">
        <f aca="false">IF(AND($G80&lt;=Q$5,$H80&gt;=Q$4),"■","")</f>
        <v/>
      </c>
      <c r="R80" s="11" t="str">
        <f aca="false">IF(AND($G80&lt;=R$5,$H80&gt;=R$4),"■","")</f>
        <v/>
      </c>
      <c r="S80" s="11" t="str">
        <f aca="false">IF(AND($G80&lt;=S$5,$H80&gt;=S$4),"■","")</f>
        <v/>
      </c>
      <c r="T80" s="11" t="str">
        <f aca="false">IF(AND($G80&lt;=T$5,$H80&gt;=T$4),"■","")</f>
        <v/>
      </c>
      <c r="U80" s="11" t="str">
        <f aca="false">IF(AND($G80&lt;=U$5,$H80&gt;=U$4),"■","")</f>
        <v>■</v>
      </c>
      <c r="V80" s="11" t="str">
        <f aca="false">IF(AND($G80&lt;=V$5,$H80&gt;=V$4),"■","")</f>
        <v>■</v>
      </c>
      <c r="W80" s="11" t="str">
        <f aca="false">IF(AND($G80&lt;=W$5,$H80&gt;=W$4),"■","")</f>
        <v>■</v>
      </c>
      <c r="X80" s="11" t="str">
        <f aca="false">IF(AND($G80&lt;=X$5,$H80&gt;=X$4),"■","")</f>
        <v>■</v>
      </c>
      <c r="Y80" s="11" t="str">
        <f aca="false">IF(AND($G80&lt;=Y$5,$H80&gt;=Y$4),"■","")</f>
        <v>■</v>
      </c>
      <c r="Z80" s="11" t="str">
        <f aca="false">IF(AND($G80&lt;=Z$5,$H80&gt;=Z$4),"■","")</f>
        <v/>
      </c>
      <c r="AA80" s="11" t="str">
        <f aca="false">IF(AND($G80&lt;=AA$5,$H80&gt;=AA$4),"■","")</f>
        <v/>
      </c>
      <c r="AB80" s="11" t="str">
        <f aca="false">IF(AND($G80&lt;=AB$5,$H80&gt;=AB$4),"■","")</f>
        <v/>
      </c>
    </row>
    <row r="81" customFormat="false" ht="23.85" hidden="false" customHeight="false" outlineLevel="0" collapsed="false">
      <c r="A81" s="4" t="s">
        <v>693</v>
      </c>
      <c r="B81" s="4" t="s">
        <v>602</v>
      </c>
      <c r="C81" s="4" t="s">
        <v>694</v>
      </c>
      <c r="D81" s="4" t="s">
        <v>695</v>
      </c>
      <c r="E81" s="4" t="s">
        <v>34</v>
      </c>
      <c r="F81" s="15" t="s">
        <v>414</v>
      </c>
      <c r="G81" s="10" t="n">
        <v>45</v>
      </c>
      <c r="H81" s="10" t="n">
        <v>70</v>
      </c>
      <c r="I81" s="16" t="n">
        <f aca="false">IF(OR(LEFT($B81,2)="P0",$H81&lt;=$G$3),$H81,IF(LEFT($B81,2)="P9",$H81-$E$3+$C$3,ROUND($H81*$C$3/$E$3,0)))</f>
        <v>70</v>
      </c>
      <c r="J81" s="4"/>
      <c r="K81" s="4" t="s">
        <v>682</v>
      </c>
      <c r="L81" s="4" t="s">
        <v>529</v>
      </c>
      <c r="M81" s="4" t="s">
        <v>588</v>
      </c>
      <c r="N81" s="11" t="str">
        <f aca="false">IF(AND($G81&lt;=N$5,$H81&gt;=N$4),"■","")</f>
        <v/>
      </c>
      <c r="O81" s="11" t="str">
        <f aca="false">IF(AND($G81&lt;=O$5,$H81&gt;=O$4),"■","")</f>
        <v/>
      </c>
      <c r="P81" s="11" t="str">
        <f aca="false">IF(AND($G81&lt;=P$5,$H81&gt;=P$4),"■","")</f>
        <v/>
      </c>
      <c r="Q81" s="11" t="str">
        <f aca="false">IF(AND($G81&lt;=Q$5,$H81&gt;=Q$4),"■","")</f>
        <v/>
      </c>
      <c r="R81" s="11" t="str">
        <f aca="false">IF(AND($G81&lt;=R$5,$H81&gt;=R$4),"■","")</f>
        <v/>
      </c>
      <c r="S81" s="11" t="str">
        <f aca="false">IF(AND($G81&lt;=S$5,$H81&gt;=S$4),"■","")</f>
        <v/>
      </c>
      <c r="T81" s="11" t="str">
        <f aca="false">IF(AND($G81&lt;=T$5,$H81&gt;=T$4),"■","")</f>
        <v/>
      </c>
      <c r="U81" s="11" t="str">
        <f aca="false">IF(AND($G81&lt;=U$5,$H81&gt;=U$4),"■","")</f>
        <v>■</v>
      </c>
      <c r="V81" s="11" t="str">
        <f aca="false">IF(AND($G81&lt;=V$5,$H81&gt;=V$4),"■","")</f>
        <v>■</v>
      </c>
      <c r="W81" s="11" t="str">
        <f aca="false">IF(AND($G81&lt;=W$5,$H81&gt;=W$4),"■","")</f>
        <v>■</v>
      </c>
      <c r="X81" s="11" t="str">
        <f aca="false">IF(AND($G81&lt;=X$5,$H81&gt;=X$4),"■","")</f>
        <v>■</v>
      </c>
      <c r="Y81" s="11" t="str">
        <f aca="false">IF(AND($G81&lt;=Y$5,$H81&gt;=Y$4),"■","")</f>
        <v>■</v>
      </c>
      <c r="Z81" s="11" t="str">
        <f aca="false">IF(AND($G81&lt;=Z$5,$H81&gt;=Z$4),"■","")</f>
        <v/>
      </c>
      <c r="AA81" s="11" t="str">
        <f aca="false">IF(AND($G81&lt;=AA$5,$H81&gt;=AA$4),"■","")</f>
        <v/>
      </c>
      <c r="AB81" s="11" t="str">
        <f aca="false">IF(AND($G81&lt;=AB$5,$H81&gt;=AB$4),"■","")</f>
        <v/>
      </c>
    </row>
    <row r="82" customFormat="false" ht="23.85" hidden="false" customHeight="false" outlineLevel="0" collapsed="false">
      <c r="A82" s="4" t="s">
        <v>696</v>
      </c>
      <c r="B82" s="4" t="s">
        <v>697</v>
      </c>
      <c r="C82" s="4" t="s">
        <v>698</v>
      </c>
      <c r="D82" s="4" t="s">
        <v>699</v>
      </c>
      <c r="E82" s="4" t="s">
        <v>34</v>
      </c>
      <c r="F82" s="15" t="s">
        <v>428</v>
      </c>
      <c r="G82" s="10" t="n">
        <v>10</v>
      </c>
      <c r="H82" s="10" t="n">
        <v>14</v>
      </c>
      <c r="I82" s="16" t="n">
        <f aca="false">IF(OR(LEFT($B82,2)="P0",$H82&lt;=$G$3),$H82,IF(LEFT($B82,2)="P9",$H82-$E$3+$C$3,ROUND($H82*$C$3/$E$3,0)))</f>
        <v>14</v>
      </c>
      <c r="J82" s="4"/>
      <c r="K82" s="4" t="s">
        <v>487</v>
      </c>
      <c r="L82" s="4" t="s">
        <v>700</v>
      </c>
      <c r="M82" s="4" t="s">
        <v>416</v>
      </c>
      <c r="N82" s="11" t="str">
        <f aca="false">IF(AND($G82&lt;=N$5,$H82&gt;=N$4),"■","")</f>
        <v/>
      </c>
      <c r="O82" s="11" t="str">
        <f aca="false">IF(AND($G82&lt;=O$5,$H82&gt;=O$4),"■","")</f>
        <v/>
      </c>
      <c r="P82" s="11" t="str">
        <f aca="false">IF(AND($G82&lt;=P$5,$H82&gt;=P$4),"■","")</f>
        <v>■</v>
      </c>
      <c r="Q82" s="11" t="str">
        <f aca="false">IF(AND($G82&lt;=Q$5,$H82&gt;=Q$4),"■","")</f>
        <v>■</v>
      </c>
      <c r="R82" s="11" t="str">
        <f aca="false">IF(AND($G82&lt;=R$5,$H82&gt;=R$4),"■","")</f>
        <v/>
      </c>
      <c r="S82" s="11" t="str">
        <f aca="false">IF(AND($G82&lt;=S$5,$H82&gt;=S$4),"■","")</f>
        <v/>
      </c>
      <c r="T82" s="11" t="str">
        <f aca="false">IF(AND($G82&lt;=T$5,$H82&gt;=T$4),"■","")</f>
        <v/>
      </c>
      <c r="U82" s="11" t="str">
        <f aca="false">IF(AND($G82&lt;=U$5,$H82&gt;=U$4),"■","")</f>
        <v/>
      </c>
      <c r="V82" s="11" t="str">
        <f aca="false">IF(AND($G82&lt;=V$5,$H82&gt;=V$4),"■","")</f>
        <v/>
      </c>
      <c r="W82" s="11" t="str">
        <f aca="false">IF(AND($G82&lt;=W$5,$H82&gt;=W$4),"■","")</f>
        <v/>
      </c>
      <c r="X82" s="11" t="str">
        <f aca="false">IF(AND($G82&lt;=X$5,$H82&gt;=X$4),"■","")</f>
        <v/>
      </c>
      <c r="Y82" s="11" t="str">
        <f aca="false">IF(AND($G82&lt;=Y$5,$H82&gt;=Y$4),"■","")</f>
        <v/>
      </c>
      <c r="Z82" s="11" t="str">
        <f aca="false">IF(AND($G82&lt;=Z$5,$H82&gt;=Z$4),"■","")</f>
        <v/>
      </c>
      <c r="AA82" s="11" t="str">
        <f aca="false">IF(AND($G82&lt;=AA$5,$H82&gt;=AA$4),"■","")</f>
        <v/>
      </c>
      <c r="AB82" s="11" t="str">
        <f aca="false">IF(AND($G82&lt;=AB$5,$H82&gt;=AB$4),"■","")</f>
        <v/>
      </c>
    </row>
    <row r="83" customFormat="false" ht="23.85" hidden="false" customHeight="false" outlineLevel="0" collapsed="false">
      <c r="A83" s="4" t="s">
        <v>277</v>
      </c>
      <c r="B83" s="4" t="s">
        <v>697</v>
      </c>
      <c r="C83" s="4" t="s">
        <v>701</v>
      </c>
      <c r="D83" s="4" t="s">
        <v>702</v>
      </c>
      <c r="E83" s="4" t="s">
        <v>34</v>
      </c>
      <c r="F83" s="15" t="s">
        <v>414</v>
      </c>
      <c r="G83" s="10" t="n">
        <v>45</v>
      </c>
      <c r="H83" s="10" t="n">
        <v>45</v>
      </c>
      <c r="I83" s="16" t="n">
        <f aca="false">IF(OR(LEFT($B83,2)="P0",$H83&lt;=$G$3),$H83,IF(LEFT($B83,2)="P9",$H83-$E$3+$C$3,ROUND($H83*$C$3/$E$3,0)))</f>
        <v>45</v>
      </c>
      <c r="J83" s="4"/>
      <c r="K83" s="4" t="s">
        <v>696</v>
      </c>
      <c r="L83" s="4" t="s">
        <v>469</v>
      </c>
      <c r="M83" s="4" t="s">
        <v>416</v>
      </c>
      <c r="N83" s="11" t="str">
        <f aca="false">IF(AND($G83&lt;=N$5,$H83&gt;=N$4),"■","")</f>
        <v/>
      </c>
      <c r="O83" s="11" t="str">
        <f aca="false">IF(AND($G83&lt;=O$5,$H83&gt;=O$4),"■","")</f>
        <v/>
      </c>
      <c r="P83" s="11" t="str">
        <f aca="false">IF(AND($G83&lt;=P$5,$H83&gt;=P$4),"■","")</f>
        <v/>
      </c>
      <c r="Q83" s="11" t="str">
        <f aca="false">IF(AND($G83&lt;=Q$5,$H83&gt;=Q$4),"■","")</f>
        <v/>
      </c>
      <c r="R83" s="11" t="str">
        <f aca="false">IF(AND($G83&lt;=R$5,$H83&gt;=R$4),"■","")</f>
        <v/>
      </c>
      <c r="S83" s="11" t="str">
        <f aca="false">IF(AND($G83&lt;=S$5,$H83&gt;=S$4),"■","")</f>
        <v/>
      </c>
      <c r="T83" s="11" t="str">
        <f aca="false">IF(AND($G83&lt;=T$5,$H83&gt;=T$4),"■","")</f>
        <v/>
      </c>
      <c r="U83" s="11" t="str">
        <f aca="false">IF(AND($G83&lt;=U$5,$H83&gt;=U$4),"■","")</f>
        <v>■</v>
      </c>
      <c r="V83" s="11" t="str">
        <f aca="false">IF(AND($G83&lt;=V$5,$H83&gt;=V$4),"■","")</f>
        <v/>
      </c>
      <c r="W83" s="11" t="str">
        <f aca="false">IF(AND($G83&lt;=W$5,$H83&gt;=W$4),"■","")</f>
        <v/>
      </c>
      <c r="X83" s="11" t="str">
        <f aca="false">IF(AND($G83&lt;=X$5,$H83&gt;=X$4),"■","")</f>
        <v/>
      </c>
      <c r="Y83" s="11" t="str">
        <f aca="false">IF(AND($G83&lt;=Y$5,$H83&gt;=Y$4),"■","")</f>
        <v/>
      </c>
      <c r="Z83" s="11" t="str">
        <f aca="false">IF(AND($G83&lt;=Z$5,$H83&gt;=Z$4),"■","")</f>
        <v/>
      </c>
      <c r="AA83" s="11" t="str">
        <f aca="false">IF(AND($G83&lt;=AA$5,$H83&gt;=AA$4),"■","")</f>
        <v/>
      </c>
      <c r="AB83" s="11" t="str">
        <f aca="false">IF(AND($G83&lt;=AB$5,$H83&gt;=AB$4),"■","")</f>
        <v/>
      </c>
    </row>
    <row r="84" customFormat="false" ht="23.85" hidden="false" customHeight="false" outlineLevel="0" collapsed="false">
      <c r="A84" s="4" t="s">
        <v>703</v>
      </c>
      <c r="B84" s="4" t="s">
        <v>697</v>
      </c>
      <c r="C84" s="4" t="s">
        <v>704</v>
      </c>
      <c r="D84" s="4" t="s">
        <v>705</v>
      </c>
      <c r="E84" s="4" t="s">
        <v>34</v>
      </c>
      <c r="F84" s="15" t="s">
        <v>428</v>
      </c>
      <c r="G84" s="10" t="n">
        <v>60</v>
      </c>
      <c r="H84" s="10" t="n">
        <v>85</v>
      </c>
      <c r="I84" s="16" t="n">
        <f aca="false">IF(OR(LEFT($B84,2)="P0",$H84&lt;=$G$3),$H84,IF(LEFT($B84,2)="P9",$H84-$E$3+$C$3,ROUND($H84*$C$3/$E$3,0)))</f>
        <v>85</v>
      </c>
      <c r="J84" s="4"/>
      <c r="K84" s="4" t="s">
        <v>601</v>
      </c>
      <c r="L84" s="4" t="s">
        <v>706</v>
      </c>
      <c r="M84" s="4" t="s">
        <v>416</v>
      </c>
      <c r="N84" s="11" t="str">
        <f aca="false">IF(AND($G84&lt;=N$5,$H84&gt;=N$4),"■","")</f>
        <v/>
      </c>
      <c r="O84" s="11" t="str">
        <f aca="false">IF(AND($G84&lt;=O$5,$H84&gt;=O$4),"■","")</f>
        <v/>
      </c>
      <c r="P84" s="11" t="str">
        <f aca="false">IF(AND($G84&lt;=P$5,$H84&gt;=P$4),"■","")</f>
        <v/>
      </c>
      <c r="Q84" s="11" t="str">
        <f aca="false">IF(AND($G84&lt;=Q$5,$H84&gt;=Q$4),"■","")</f>
        <v/>
      </c>
      <c r="R84" s="11" t="str">
        <f aca="false">IF(AND($G84&lt;=R$5,$H84&gt;=R$4),"■","")</f>
        <v/>
      </c>
      <c r="S84" s="11" t="str">
        <f aca="false">IF(AND($G84&lt;=S$5,$H84&gt;=S$4),"■","")</f>
        <v/>
      </c>
      <c r="T84" s="11" t="str">
        <f aca="false">IF(AND($G84&lt;=T$5,$H84&gt;=T$4),"■","")</f>
        <v/>
      </c>
      <c r="U84" s="11" t="str">
        <f aca="false">IF(AND($G84&lt;=U$5,$H84&gt;=U$4),"■","")</f>
        <v/>
      </c>
      <c r="V84" s="11" t="str">
        <f aca="false">IF(AND($G84&lt;=V$5,$H84&gt;=V$4),"■","")</f>
        <v/>
      </c>
      <c r="W84" s="11" t="str">
        <f aca="false">IF(AND($G84&lt;=W$5,$H84&gt;=W$4),"■","")</f>
        <v>■</v>
      </c>
      <c r="X84" s="11" t="str">
        <f aca="false">IF(AND($G84&lt;=X$5,$H84&gt;=X$4),"■","")</f>
        <v>■</v>
      </c>
      <c r="Y84" s="11" t="str">
        <f aca="false">IF(AND($G84&lt;=Y$5,$H84&gt;=Y$4),"■","")</f>
        <v>■</v>
      </c>
      <c r="Z84" s="11" t="str">
        <f aca="false">IF(AND($G84&lt;=Z$5,$H84&gt;=Z$4),"■","")</f>
        <v>■</v>
      </c>
      <c r="AA84" s="11" t="str">
        <f aca="false">IF(AND($G84&lt;=AA$5,$H84&gt;=AA$4),"■","")</f>
        <v>■</v>
      </c>
      <c r="AB84" s="11" t="str">
        <f aca="false">IF(AND($G84&lt;=AB$5,$H84&gt;=AB$4),"■","")</f>
        <v/>
      </c>
    </row>
    <row r="85" customFormat="false" ht="23.85" hidden="false" customHeight="false" outlineLevel="0" collapsed="false">
      <c r="A85" s="4" t="s">
        <v>707</v>
      </c>
      <c r="B85" s="4" t="s">
        <v>697</v>
      </c>
      <c r="C85" s="4" t="s">
        <v>708</v>
      </c>
      <c r="D85" s="4" t="s">
        <v>709</v>
      </c>
      <c r="E85" s="4" t="s">
        <v>34</v>
      </c>
      <c r="F85" s="15" t="s">
        <v>414</v>
      </c>
      <c r="G85" s="10" t="n">
        <v>75</v>
      </c>
      <c r="H85" s="10" t="n">
        <v>75</v>
      </c>
      <c r="I85" s="16" t="n">
        <f aca="false">IF(OR(LEFT($B85,2)="P0",$H85&lt;=$G$3),$H85,IF(LEFT($B85,2)="P9",$H85-$E$3+$C$3,ROUND($H85*$C$3/$E$3,0)))</f>
        <v>75</v>
      </c>
      <c r="J85" s="4"/>
      <c r="K85" s="4" t="s">
        <v>277</v>
      </c>
      <c r="L85" s="4" t="s">
        <v>469</v>
      </c>
      <c r="M85" s="4" t="s">
        <v>416</v>
      </c>
      <c r="N85" s="11" t="str">
        <f aca="false">IF(AND($G85&lt;=N$5,$H85&gt;=N$4),"■","")</f>
        <v/>
      </c>
      <c r="O85" s="11" t="str">
        <f aca="false">IF(AND($G85&lt;=O$5,$H85&gt;=O$4),"■","")</f>
        <v/>
      </c>
      <c r="P85" s="11" t="str">
        <f aca="false">IF(AND($G85&lt;=P$5,$H85&gt;=P$4),"■","")</f>
        <v/>
      </c>
      <c r="Q85" s="11" t="str">
        <f aca="false">IF(AND($G85&lt;=Q$5,$H85&gt;=Q$4),"■","")</f>
        <v/>
      </c>
      <c r="R85" s="11" t="str">
        <f aca="false">IF(AND($G85&lt;=R$5,$H85&gt;=R$4),"■","")</f>
        <v/>
      </c>
      <c r="S85" s="11" t="str">
        <f aca="false">IF(AND($G85&lt;=S$5,$H85&gt;=S$4),"■","")</f>
        <v/>
      </c>
      <c r="T85" s="11" t="str">
        <f aca="false">IF(AND($G85&lt;=T$5,$H85&gt;=T$4),"■","")</f>
        <v/>
      </c>
      <c r="U85" s="11" t="str">
        <f aca="false">IF(AND($G85&lt;=U$5,$H85&gt;=U$4),"■","")</f>
        <v/>
      </c>
      <c r="V85" s="11" t="str">
        <f aca="false">IF(AND($G85&lt;=V$5,$H85&gt;=V$4),"■","")</f>
        <v/>
      </c>
      <c r="W85" s="11" t="str">
        <f aca="false">IF(AND($G85&lt;=W$5,$H85&gt;=W$4),"■","")</f>
        <v/>
      </c>
      <c r="X85" s="11" t="str">
        <f aca="false">IF(AND($G85&lt;=X$5,$H85&gt;=X$4),"■","")</f>
        <v/>
      </c>
      <c r="Y85" s="11" t="str">
        <f aca="false">IF(AND($G85&lt;=Y$5,$H85&gt;=Y$4),"■","")</f>
        <v>■</v>
      </c>
      <c r="Z85" s="11" t="str">
        <f aca="false">IF(AND($G85&lt;=Z$5,$H85&gt;=Z$4),"■","")</f>
        <v/>
      </c>
      <c r="AA85" s="11" t="str">
        <f aca="false">IF(AND($G85&lt;=AA$5,$H85&gt;=AA$4),"■","")</f>
        <v/>
      </c>
      <c r="AB85" s="11" t="str">
        <f aca="false">IF(AND($G85&lt;=AB$5,$H85&gt;=AB$4),"■","")</f>
        <v/>
      </c>
    </row>
    <row r="86" customFormat="false" ht="23.85" hidden="false" customHeight="false" outlineLevel="0" collapsed="false">
      <c r="A86" s="4" t="s">
        <v>710</v>
      </c>
      <c r="B86" s="4" t="s">
        <v>697</v>
      </c>
      <c r="C86" s="4" t="s">
        <v>711</v>
      </c>
      <c r="D86" s="4" t="s">
        <v>712</v>
      </c>
      <c r="E86" s="4" t="s">
        <v>34</v>
      </c>
      <c r="F86" s="15" t="s">
        <v>428</v>
      </c>
      <c r="G86" s="10" t="n">
        <v>14</v>
      </c>
      <c r="H86" s="10" t="n">
        <v>85</v>
      </c>
      <c r="I86" s="16" t="n">
        <f aca="false">IF(OR(LEFT($B86,2)="P0",$H86&lt;=$G$3),$H86,IF(LEFT($B86,2)="P9",$H86-$E$3+$C$3,ROUND($H86*$C$3/$E$3,0)))</f>
        <v>85</v>
      </c>
      <c r="J86" s="4"/>
      <c r="K86" s="4" t="s">
        <v>696</v>
      </c>
      <c r="L86" s="4" t="s">
        <v>713</v>
      </c>
      <c r="M86" s="4" t="s">
        <v>553</v>
      </c>
      <c r="N86" s="11" t="str">
        <f aca="false">IF(AND($G86&lt;=N$5,$H86&gt;=N$4),"■","")</f>
        <v/>
      </c>
      <c r="O86" s="11" t="str">
        <f aca="false">IF(AND($G86&lt;=O$5,$H86&gt;=O$4),"■","")</f>
        <v/>
      </c>
      <c r="P86" s="11" t="str">
        <f aca="false">IF(AND($G86&lt;=P$5,$H86&gt;=P$4),"■","")</f>
        <v/>
      </c>
      <c r="Q86" s="11" t="str">
        <f aca="false">IF(AND($G86&lt;=Q$5,$H86&gt;=Q$4),"■","")</f>
        <v>■</v>
      </c>
      <c r="R86" s="11" t="str">
        <f aca="false">IF(AND($G86&lt;=R$5,$H86&gt;=R$4),"■","")</f>
        <v>■</v>
      </c>
      <c r="S86" s="11" t="str">
        <f aca="false">IF(AND($G86&lt;=S$5,$H86&gt;=S$4),"■","")</f>
        <v>■</v>
      </c>
      <c r="T86" s="11" t="str">
        <f aca="false">IF(AND($G86&lt;=T$5,$H86&gt;=T$4),"■","")</f>
        <v>■</v>
      </c>
      <c r="U86" s="11" t="str">
        <f aca="false">IF(AND($G86&lt;=U$5,$H86&gt;=U$4),"■","")</f>
        <v>■</v>
      </c>
      <c r="V86" s="11" t="str">
        <f aca="false">IF(AND($G86&lt;=V$5,$H86&gt;=V$4),"■","")</f>
        <v>■</v>
      </c>
      <c r="W86" s="11" t="str">
        <f aca="false">IF(AND($G86&lt;=W$5,$H86&gt;=W$4),"■","")</f>
        <v>■</v>
      </c>
      <c r="X86" s="11" t="str">
        <f aca="false">IF(AND($G86&lt;=X$5,$H86&gt;=X$4),"■","")</f>
        <v>■</v>
      </c>
      <c r="Y86" s="11" t="str">
        <f aca="false">IF(AND($G86&lt;=Y$5,$H86&gt;=Y$4),"■","")</f>
        <v>■</v>
      </c>
      <c r="Z86" s="11" t="str">
        <f aca="false">IF(AND($G86&lt;=Z$5,$H86&gt;=Z$4),"■","")</f>
        <v>■</v>
      </c>
      <c r="AA86" s="11" t="str">
        <f aca="false">IF(AND($G86&lt;=AA$5,$H86&gt;=AA$4),"■","")</f>
        <v>■</v>
      </c>
      <c r="AB86" s="11" t="str">
        <f aca="false">IF(AND($G86&lt;=AB$5,$H86&gt;=AB$4),"■","")</f>
        <v/>
      </c>
    </row>
    <row r="87" customFormat="false" ht="23.85" hidden="false" customHeight="false" outlineLevel="0" collapsed="false">
      <c r="A87" s="4" t="s">
        <v>714</v>
      </c>
      <c r="B87" s="4" t="s">
        <v>697</v>
      </c>
      <c r="C87" s="4" t="s">
        <v>715</v>
      </c>
      <c r="D87" s="4" t="s">
        <v>716</v>
      </c>
      <c r="E87" s="4" t="s">
        <v>34</v>
      </c>
      <c r="F87" s="15" t="s">
        <v>428</v>
      </c>
      <c r="G87" s="10" t="n">
        <v>14</v>
      </c>
      <c r="H87" s="10" t="n">
        <v>85</v>
      </c>
      <c r="I87" s="16" t="n">
        <f aca="false">IF(OR(LEFT($B87,2)="P0",$H87&lt;=$G$3),$H87,IF(LEFT($B87,2)="P9",$H87-$E$3+$C$3,ROUND($H87*$C$3/$E$3,0)))</f>
        <v>85</v>
      </c>
      <c r="J87" s="4"/>
      <c r="K87" s="4" t="s">
        <v>696</v>
      </c>
      <c r="L87" s="4" t="s">
        <v>713</v>
      </c>
      <c r="M87" s="4" t="s">
        <v>569</v>
      </c>
      <c r="N87" s="11" t="str">
        <f aca="false">IF(AND($G87&lt;=N$5,$H87&gt;=N$4),"■","")</f>
        <v/>
      </c>
      <c r="O87" s="11" t="str">
        <f aca="false">IF(AND($G87&lt;=O$5,$H87&gt;=O$4),"■","")</f>
        <v/>
      </c>
      <c r="P87" s="11" t="str">
        <f aca="false">IF(AND($G87&lt;=P$5,$H87&gt;=P$4),"■","")</f>
        <v/>
      </c>
      <c r="Q87" s="11" t="str">
        <f aca="false">IF(AND($G87&lt;=Q$5,$H87&gt;=Q$4),"■","")</f>
        <v>■</v>
      </c>
      <c r="R87" s="11" t="str">
        <f aca="false">IF(AND($G87&lt;=R$5,$H87&gt;=R$4),"■","")</f>
        <v>■</v>
      </c>
      <c r="S87" s="11" t="str">
        <f aca="false">IF(AND($G87&lt;=S$5,$H87&gt;=S$4),"■","")</f>
        <v>■</v>
      </c>
      <c r="T87" s="11" t="str">
        <f aca="false">IF(AND($G87&lt;=T$5,$H87&gt;=T$4),"■","")</f>
        <v>■</v>
      </c>
      <c r="U87" s="11" t="str">
        <f aca="false">IF(AND($G87&lt;=U$5,$H87&gt;=U$4),"■","")</f>
        <v>■</v>
      </c>
      <c r="V87" s="11" t="str">
        <f aca="false">IF(AND($G87&lt;=V$5,$H87&gt;=V$4),"■","")</f>
        <v>■</v>
      </c>
      <c r="W87" s="11" t="str">
        <f aca="false">IF(AND($G87&lt;=W$5,$H87&gt;=W$4),"■","")</f>
        <v>■</v>
      </c>
      <c r="X87" s="11" t="str">
        <f aca="false">IF(AND($G87&lt;=X$5,$H87&gt;=X$4),"■","")</f>
        <v>■</v>
      </c>
      <c r="Y87" s="11" t="str">
        <f aca="false">IF(AND($G87&lt;=Y$5,$H87&gt;=Y$4),"■","")</f>
        <v>■</v>
      </c>
      <c r="Z87" s="11" t="str">
        <f aca="false">IF(AND($G87&lt;=Z$5,$H87&gt;=Z$4),"■","")</f>
        <v>■</v>
      </c>
      <c r="AA87" s="11" t="str">
        <f aca="false">IF(AND($G87&lt;=AA$5,$H87&gt;=AA$4),"■","")</f>
        <v>■</v>
      </c>
      <c r="AB87" s="11" t="str">
        <f aca="false">IF(AND($G87&lt;=AB$5,$H87&gt;=AB$4),"■","")</f>
        <v/>
      </c>
    </row>
    <row r="88" customFormat="false" ht="23.85" hidden="false" customHeight="false" outlineLevel="0" collapsed="false">
      <c r="A88" s="4" t="s">
        <v>717</v>
      </c>
      <c r="B88" s="4" t="s">
        <v>697</v>
      </c>
      <c r="C88" s="4" t="s">
        <v>718</v>
      </c>
      <c r="D88" s="4" t="s">
        <v>719</v>
      </c>
      <c r="E88" s="4" t="s">
        <v>34</v>
      </c>
      <c r="F88" s="15" t="s">
        <v>428</v>
      </c>
      <c r="G88" s="10" t="n">
        <v>14</v>
      </c>
      <c r="H88" s="10" t="n">
        <v>85</v>
      </c>
      <c r="I88" s="16" t="n">
        <f aca="false">IF(OR(LEFT($B88,2)="P0",$H88&lt;=$G$3),$H88,IF(LEFT($B88,2)="P9",$H88-$E$3+$C$3,ROUND($H88*$C$3/$E$3,0)))</f>
        <v>85</v>
      </c>
      <c r="J88" s="4"/>
      <c r="K88" s="4" t="s">
        <v>696</v>
      </c>
      <c r="L88" s="4" t="s">
        <v>713</v>
      </c>
      <c r="M88" s="4" t="s">
        <v>588</v>
      </c>
      <c r="N88" s="11" t="str">
        <f aca="false">IF(AND($G88&lt;=N$5,$H88&gt;=N$4),"■","")</f>
        <v/>
      </c>
      <c r="O88" s="11" t="str">
        <f aca="false">IF(AND($G88&lt;=O$5,$H88&gt;=O$4),"■","")</f>
        <v/>
      </c>
      <c r="P88" s="11" t="str">
        <f aca="false">IF(AND($G88&lt;=P$5,$H88&gt;=P$4),"■","")</f>
        <v/>
      </c>
      <c r="Q88" s="11" t="str">
        <f aca="false">IF(AND($G88&lt;=Q$5,$H88&gt;=Q$4),"■","")</f>
        <v>■</v>
      </c>
      <c r="R88" s="11" t="str">
        <f aca="false">IF(AND($G88&lt;=R$5,$H88&gt;=R$4),"■","")</f>
        <v>■</v>
      </c>
      <c r="S88" s="11" t="str">
        <f aca="false">IF(AND($G88&lt;=S$5,$H88&gt;=S$4),"■","")</f>
        <v>■</v>
      </c>
      <c r="T88" s="11" t="str">
        <f aca="false">IF(AND($G88&lt;=T$5,$H88&gt;=T$4),"■","")</f>
        <v>■</v>
      </c>
      <c r="U88" s="11" t="str">
        <f aca="false">IF(AND($G88&lt;=U$5,$H88&gt;=U$4),"■","")</f>
        <v>■</v>
      </c>
      <c r="V88" s="11" t="str">
        <f aca="false">IF(AND($G88&lt;=V$5,$H88&gt;=V$4),"■","")</f>
        <v>■</v>
      </c>
      <c r="W88" s="11" t="str">
        <f aca="false">IF(AND($G88&lt;=W$5,$H88&gt;=W$4),"■","")</f>
        <v>■</v>
      </c>
      <c r="X88" s="11" t="str">
        <f aca="false">IF(AND($G88&lt;=X$5,$H88&gt;=X$4),"■","")</f>
        <v>■</v>
      </c>
      <c r="Y88" s="11" t="str">
        <f aca="false">IF(AND($G88&lt;=Y$5,$H88&gt;=Y$4),"■","")</f>
        <v>■</v>
      </c>
      <c r="Z88" s="11" t="str">
        <f aca="false">IF(AND($G88&lt;=Z$5,$H88&gt;=Z$4),"■","")</f>
        <v>■</v>
      </c>
      <c r="AA88" s="11" t="str">
        <f aca="false">IF(AND($G88&lt;=AA$5,$H88&gt;=AA$4),"■","")</f>
        <v>■</v>
      </c>
      <c r="AB88" s="11" t="str">
        <f aca="false">IF(AND($G88&lt;=AB$5,$H88&gt;=AB$4),"■","")</f>
        <v/>
      </c>
    </row>
    <row r="89" customFormat="false" ht="15" hidden="false" customHeight="false" outlineLevel="0" collapsed="false">
      <c r="A89" s="4" t="s">
        <v>720</v>
      </c>
      <c r="B89" s="4" t="s">
        <v>721</v>
      </c>
      <c r="C89" s="4" t="s">
        <v>722</v>
      </c>
      <c r="D89" s="4" t="s">
        <v>723</v>
      </c>
      <c r="E89" s="4" t="s">
        <v>34</v>
      </c>
      <c r="F89" s="15" t="s">
        <v>428</v>
      </c>
      <c r="G89" s="10" t="n">
        <v>7</v>
      </c>
      <c r="H89" s="10" t="n">
        <v>90</v>
      </c>
      <c r="I89" s="16" t="n">
        <f aca="false">IF(OR(LEFT($B89,2)="P0",$H89&lt;=$G$3),$H89,IF(LEFT($B89,2)="P9",$H89-$E$3+$C$3,ROUND($H89*$C$3/$E$3,0)))</f>
        <v>90</v>
      </c>
      <c r="J89" s="4" t="s">
        <v>724</v>
      </c>
      <c r="K89" s="4" t="s">
        <v>470</v>
      </c>
      <c r="L89" s="4" t="s">
        <v>481</v>
      </c>
      <c r="M89" s="4" t="s">
        <v>416</v>
      </c>
      <c r="N89" s="11" t="str">
        <f aca="false">IF(AND($G89&lt;=N$5,$H89&gt;=N$4),"■","")</f>
        <v/>
      </c>
      <c r="O89" s="11" t="str">
        <f aca="false">IF(AND($G89&lt;=O$5,$H89&gt;=O$4),"■","")</f>
        <v/>
      </c>
      <c r="P89" s="11" t="str">
        <f aca="false">IF(AND($G89&lt;=P$5,$H89&gt;=P$4),"■","")</f>
        <v>■</v>
      </c>
      <c r="Q89" s="11" t="str">
        <f aca="false">IF(AND($G89&lt;=Q$5,$H89&gt;=Q$4),"■","")</f>
        <v>■</v>
      </c>
      <c r="R89" s="11" t="str">
        <f aca="false">IF(AND($G89&lt;=R$5,$H89&gt;=R$4),"■","")</f>
        <v>■</v>
      </c>
      <c r="S89" s="11" t="str">
        <f aca="false">IF(AND($G89&lt;=S$5,$H89&gt;=S$4),"■","")</f>
        <v>■</v>
      </c>
      <c r="T89" s="11" t="str">
        <f aca="false">IF(AND($G89&lt;=T$5,$H89&gt;=T$4),"■","")</f>
        <v>■</v>
      </c>
      <c r="U89" s="11" t="str">
        <f aca="false">IF(AND($G89&lt;=U$5,$H89&gt;=U$4),"■","")</f>
        <v>■</v>
      </c>
      <c r="V89" s="11" t="str">
        <f aca="false">IF(AND($G89&lt;=V$5,$H89&gt;=V$4),"■","")</f>
        <v>■</v>
      </c>
      <c r="W89" s="11" t="str">
        <f aca="false">IF(AND($G89&lt;=W$5,$H89&gt;=W$4),"■","")</f>
        <v>■</v>
      </c>
      <c r="X89" s="11" t="str">
        <f aca="false">IF(AND($G89&lt;=X$5,$H89&gt;=X$4),"■","")</f>
        <v>■</v>
      </c>
      <c r="Y89" s="11" t="str">
        <f aca="false">IF(AND($G89&lt;=Y$5,$H89&gt;=Y$4),"■","")</f>
        <v>■</v>
      </c>
      <c r="Z89" s="11" t="str">
        <f aca="false">IF(AND($G89&lt;=Z$5,$H89&gt;=Z$4),"■","")</f>
        <v>■</v>
      </c>
      <c r="AA89" s="11" t="str">
        <f aca="false">IF(AND($G89&lt;=AA$5,$H89&gt;=AA$4),"■","")</f>
        <v>■</v>
      </c>
      <c r="AB89" s="11" t="str">
        <f aca="false">IF(AND($G89&lt;=AB$5,$H89&gt;=AB$4),"■","")</f>
        <v/>
      </c>
    </row>
    <row r="90" customFormat="false" ht="35.05" hidden="false" customHeight="false" outlineLevel="0" collapsed="false">
      <c r="A90" s="4" t="s">
        <v>725</v>
      </c>
      <c r="B90" s="4" t="s">
        <v>721</v>
      </c>
      <c r="C90" s="4" t="s">
        <v>726</v>
      </c>
      <c r="D90" s="4" t="s">
        <v>727</v>
      </c>
      <c r="E90" s="4" t="s">
        <v>34</v>
      </c>
      <c r="F90" s="15" t="s">
        <v>428</v>
      </c>
      <c r="G90" s="10" t="n">
        <v>7</v>
      </c>
      <c r="H90" s="10" t="n">
        <v>90</v>
      </c>
      <c r="I90" s="16" t="n">
        <f aca="false">IF(OR(LEFT($B90,2)="P0",$H90&lt;=$G$3),$H90,IF(LEFT($B90,2)="P9",$H90-$E$3+$C$3,ROUND($H90*$C$3/$E$3,0)))</f>
        <v>90</v>
      </c>
      <c r="J90" s="4" t="s">
        <v>728</v>
      </c>
      <c r="K90" s="4" t="s">
        <v>539</v>
      </c>
      <c r="L90" s="4" t="s">
        <v>729</v>
      </c>
      <c r="M90" s="4" t="s">
        <v>416</v>
      </c>
      <c r="N90" s="11" t="str">
        <f aca="false">IF(AND($G90&lt;=N$5,$H90&gt;=N$4),"■","")</f>
        <v/>
      </c>
      <c r="O90" s="11" t="str">
        <f aca="false">IF(AND($G90&lt;=O$5,$H90&gt;=O$4),"■","")</f>
        <v/>
      </c>
      <c r="P90" s="11" t="str">
        <f aca="false">IF(AND($G90&lt;=P$5,$H90&gt;=P$4),"■","")</f>
        <v>■</v>
      </c>
      <c r="Q90" s="11" t="str">
        <f aca="false">IF(AND($G90&lt;=Q$5,$H90&gt;=Q$4),"■","")</f>
        <v>■</v>
      </c>
      <c r="R90" s="11" t="str">
        <f aca="false">IF(AND($G90&lt;=R$5,$H90&gt;=R$4),"■","")</f>
        <v>■</v>
      </c>
      <c r="S90" s="11" t="str">
        <f aca="false">IF(AND($G90&lt;=S$5,$H90&gt;=S$4),"■","")</f>
        <v>■</v>
      </c>
      <c r="T90" s="11" t="str">
        <f aca="false">IF(AND($G90&lt;=T$5,$H90&gt;=T$4),"■","")</f>
        <v>■</v>
      </c>
      <c r="U90" s="11" t="str">
        <f aca="false">IF(AND($G90&lt;=U$5,$H90&gt;=U$4),"■","")</f>
        <v>■</v>
      </c>
      <c r="V90" s="11" t="str">
        <f aca="false">IF(AND($G90&lt;=V$5,$H90&gt;=V$4),"■","")</f>
        <v>■</v>
      </c>
      <c r="W90" s="11" t="str">
        <f aca="false">IF(AND($G90&lt;=W$5,$H90&gt;=W$4),"■","")</f>
        <v>■</v>
      </c>
      <c r="X90" s="11" t="str">
        <f aca="false">IF(AND($G90&lt;=X$5,$H90&gt;=X$4),"■","")</f>
        <v>■</v>
      </c>
      <c r="Y90" s="11" t="str">
        <f aca="false">IF(AND($G90&lt;=Y$5,$H90&gt;=Y$4),"■","")</f>
        <v>■</v>
      </c>
      <c r="Z90" s="11" t="str">
        <f aca="false">IF(AND($G90&lt;=Z$5,$H90&gt;=Z$4),"■","")</f>
        <v>■</v>
      </c>
      <c r="AA90" s="11" t="str">
        <f aca="false">IF(AND($G90&lt;=AA$5,$H90&gt;=AA$4),"■","")</f>
        <v>■</v>
      </c>
      <c r="AB90" s="11" t="str">
        <f aca="false">IF(AND($G90&lt;=AB$5,$H90&gt;=AB$4),"■","")</f>
        <v/>
      </c>
    </row>
    <row r="91" customFormat="false" ht="23.85" hidden="false" customHeight="false" outlineLevel="0" collapsed="false">
      <c r="A91" s="4" t="s">
        <v>730</v>
      </c>
      <c r="B91" s="4" t="s">
        <v>721</v>
      </c>
      <c r="C91" s="4" t="s">
        <v>731</v>
      </c>
      <c r="D91" s="4" t="s">
        <v>732</v>
      </c>
      <c r="E91" s="4" t="s">
        <v>34</v>
      </c>
      <c r="F91" s="15" t="s">
        <v>428</v>
      </c>
      <c r="G91" s="10" t="n">
        <v>7</v>
      </c>
      <c r="H91" s="10" t="n">
        <v>90</v>
      </c>
      <c r="I91" s="16" t="n">
        <f aca="false">IF(OR(LEFT($B91,2)="P0",$H91&lt;=$G$3),$H91,IF(LEFT($B91,2)="P9",$H91-$E$3+$C$3,ROUND($H91*$C$3/$E$3,0)))</f>
        <v>90</v>
      </c>
      <c r="J91" s="4" t="s">
        <v>733</v>
      </c>
      <c r="K91" s="4"/>
      <c r="L91" s="4" t="s">
        <v>734</v>
      </c>
      <c r="M91" s="4" t="s">
        <v>416</v>
      </c>
      <c r="N91" s="11" t="str">
        <f aca="false">IF(AND($G91&lt;=N$5,$H91&gt;=N$4),"■","")</f>
        <v/>
      </c>
      <c r="O91" s="11" t="str">
        <f aca="false">IF(AND($G91&lt;=O$5,$H91&gt;=O$4),"■","")</f>
        <v/>
      </c>
      <c r="P91" s="11" t="str">
        <f aca="false">IF(AND($G91&lt;=P$5,$H91&gt;=P$4),"■","")</f>
        <v>■</v>
      </c>
      <c r="Q91" s="11" t="str">
        <f aca="false">IF(AND($G91&lt;=Q$5,$H91&gt;=Q$4),"■","")</f>
        <v>■</v>
      </c>
      <c r="R91" s="11" t="str">
        <f aca="false">IF(AND($G91&lt;=R$5,$H91&gt;=R$4),"■","")</f>
        <v>■</v>
      </c>
      <c r="S91" s="11" t="str">
        <f aca="false">IF(AND($G91&lt;=S$5,$H91&gt;=S$4),"■","")</f>
        <v>■</v>
      </c>
      <c r="T91" s="11" t="str">
        <f aca="false">IF(AND($G91&lt;=T$5,$H91&gt;=T$4),"■","")</f>
        <v>■</v>
      </c>
      <c r="U91" s="11" t="str">
        <f aca="false">IF(AND($G91&lt;=U$5,$H91&gt;=U$4),"■","")</f>
        <v>■</v>
      </c>
      <c r="V91" s="11" t="str">
        <f aca="false">IF(AND($G91&lt;=V$5,$H91&gt;=V$4),"■","")</f>
        <v>■</v>
      </c>
      <c r="W91" s="11" t="str">
        <f aca="false">IF(AND($G91&lt;=W$5,$H91&gt;=W$4),"■","")</f>
        <v>■</v>
      </c>
      <c r="X91" s="11" t="str">
        <f aca="false">IF(AND($G91&lt;=X$5,$H91&gt;=X$4),"■","")</f>
        <v>■</v>
      </c>
      <c r="Y91" s="11" t="str">
        <f aca="false">IF(AND($G91&lt;=Y$5,$H91&gt;=Y$4),"■","")</f>
        <v>■</v>
      </c>
      <c r="Z91" s="11" t="str">
        <f aca="false">IF(AND($G91&lt;=Z$5,$H91&gt;=Z$4),"■","")</f>
        <v>■</v>
      </c>
      <c r="AA91" s="11" t="str">
        <f aca="false">IF(AND($G91&lt;=AA$5,$H91&gt;=AA$4),"■","")</f>
        <v>■</v>
      </c>
      <c r="AB91" s="11" t="str">
        <f aca="false">IF(AND($G91&lt;=AB$5,$H91&gt;=AB$4),"■","")</f>
        <v/>
      </c>
    </row>
    <row r="92" customFormat="false" ht="23.85" hidden="false" customHeight="false" outlineLevel="0" collapsed="false">
      <c r="A92" s="4" t="s">
        <v>735</v>
      </c>
      <c r="B92" s="4" t="s">
        <v>721</v>
      </c>
      <c r="C92" s="4" t="s">
        <v>736</v>
      </c>
      <c r="D92" s="4" t="s">
        <v>737</v>
      </c>
      <c r="E92" s="4" t="s">
        <v>34</v>
      </c>
      <c r="F92" s="15" t="s">
        <v>414</v>
      </c>
      <c r="G92" s="10" t="n">
        <v>7</v>
      </c>
      <c r="H92" s="10" t="n">
        <v>90</v>
      </c>
      <c r="I92" s="16" t="n">
        <f aca="false">IF(OR(LEFT($B92,2)="P0",$H92&lt;=$G$3),$H92,IF(LEFT($B92,2)="P9",$H92-$E$3+$C$3,ROUND($H92*$C$3/$E$3,0)))</f>
        <v>90</v>
      </c>
      <c r="J92" s="4" t="s">
        <v>733</v>
      </c>
      <c r="K92" s="4"/>
      <c r="L92" s="4" t="s">
        <v>734</v>
      </c>
      <c r="M92" s="4" t="s">
        <v>416</v>
      </c>
      <c r="N92" s="11" t="str">
        <f aca="false">IF(AND($G92&lt;=N$5,$H92&gt;=N$4),"■","")</f>
        <v/>
      </c>
      <c r="O92" s="11" t="str">
        <f aca="false">IF(AND($G92&lt;=O$5,$H92&gt;=O$4),"■","")</f>
        <v/>
      </c>
      <c r="P92" s="11" t="str">
        <f aca="false">IF(AND($G92&lt;=P$5,$H92&gt;=P$4),"■","")</f>
        <v>■</v>
      </c>
      <c r="Q92" s="11" t="str">
        <f aca="false">IF(AND($G92&lt;=Q$5,$H92&gt;=Q$4),"■","")</f>
        <v>■</v>
      </c>
      <c r="R92" s="11" t="str">
        <f aca="false">IF(AND($G92&lt;=R$5,$H92&gt;=R$4),"■","")</f>
        <v>■</v>
      </c>
      <c r="S92" s="11" t="str">
        <f aca="false">IF(AND($G92&lt;=S$5,$H92&gt;=S$4),"■","")</f>
        <v>■</v>
      </c>
      <c r="T92" s="11" t="str">
        <f aca="false">IF(AND($G92&lt;=T$5,$H92&gt;=T$4),"■","")</f>
        <v>■</v>
      </c>
      <c r="U92" s="11" t="str">
        <f aca="false">IF(AND($G92&lt;=U$5,$H92&gt;=U$4),"■","")</f>
        <v>■</v>
      </c>
      <c r="V92" s="11" t="str">
        <f aca="false">IF(AND($G92&lt;=V$5,$H92&gt;=V$4),"■","")</f>
        <v>■</v>
      </c>
      <c r="W92" s="11" t="str">
        <f aca="false">IF(AND($G92&lt;=W$5,$H92&gt;=W$4),"■","")</f>
        <v>■</v>
      </c>
      <c r="X92" s="11" t="str">
        <f aca="false">IF(AND($G92&lt;=X$5,$H92&gt;=X$4),"■","")</f>
        <v>■</v>
      </c>
      <c r="Y92" s="11" t="str">
        <f aca="false">IF(AND($G92&lt;=Y$5,$H92&gt;=Y$4),"■","")</f>
        <v>■</v>
      </c>
      <c r="Z92" s="11" t="str">
        <f aca="false">IF(AND($G92&lt;=Z$5,$H92&gt;=Z$4),"■","")</f>
        <v>■</v>
      </c>
      <c r="AA92" s="11" t="str">
        <f aca="false">IF(AND($G92&lt;=AA$5,$H92&gt;=AA$4),"■","")</f>
        <v>■</v>
      </c>
      <c r="AB92" s="11" t="str">
        <f aca="false">IF(AND($G92&lt;=AB$5,$H92&gt;=AB$4),"■","")</f>
        <v/>
      </c>
    </row>
    <row r="93" customFormat="false" ht="23.85" hidden="false" customHeight="false" outlineLevel="0" collapsed="false">
      <c r="A93" s="4" t="s">
        <v>738</v>
      </c>
      <c r="B93" s="4" t="s">
        <v>721</v>
      </c>
      <c r="C93" s="4" t="s">
        <v>739</v>
      </c>
      <c r="D93" s="4" t="s">
        <v>740</v>
      </c>
      <c r="E93" s="4" t="s">
        <v>34</v>
      </c>
      <c r="F93" s="15" t="s">
        <v>414</v>
      </c>
      <c r="G93" s="10" t="n">
        <v>7</v>
      </c>
      <c r="H93" s="10" t="n">
        <v>90</v>
      </c>
      <c r="I93" s="16" t="n">
        <f aca="false">IF(OR(LEFT($B93,2)="P0",$H93&lt;=$G$3),$H93,IF(LEFT($B93,2)="P9",$H93-$E$3+$C$3,ROUND($H93*$C$3/$E$3,0)))</f>
        <v>90</v>
      </c>
      <c r="J93" s="4" t="s">
        <v>724</v>
      </c>
      <c r="K93" s="4"/>
      <c r="L93" s="4" t="s">
        <v>741</v>
      </c>
      <c r="M93" s="4" t="s">
        <v>416</v>
      </c>
      <c r="N93" s="11" t="str">
        <f aca="false">IF(AND($G93&lt;=N$5,$H93&gt;=N$4),"■","")</f>
        <v/>
      </c>
      <c r="O93" s="11" t="str">
        <f aca="false">IF(AND($G93&lt;=O$5,$H93&gt;=O$4),"■","")</f>
        <v/>
      </c>
      <c r="P93" s="11" t="str">
        <f aca="false">IF(AND($G93&lt;=P$5,$H93&gt;=P$4),"■","")</f>
        <v>■</v>
      </c>
      <c r="Q93" s="11" t="str">
        <f aca="false">IF(AND($G93&lt;=Q$5,$H93&gt;=Q$4),"■","")</f>
        <v>■</v>
      </c>
      <c r="R93" s="11" t="str">
        <f aca="false">IF(AND($G93&lt;=R$5,$H93&gt;=R$4),"■","")</f>
        <v>■</v>
      </c>
      <c r="S93" s="11" t="str">
        <f aca="false">IF(AND($G93&lt;=S$5,$H93&gt;=S$4),"■","")</f>
        <v>■</v>
      </c>
      <c r="T93" s="11" t="str">
        <f aca="false">IF(AND($G93&lt;=T$5,$H93&gt;=T$4),"■","")</f>
        <v>■</v>
      </c>
      <c r="U93" s="11" t="str">
        <f aca="false">IF(AND($G93&lt;=U$5,$H93&gt;=U$4),"■","")</f>
        <v>■</v>
      </c>
      <c r="V93" s="11" t="str">
        <f aca="false">IF(AND($G93&lt;=V$5,$H93&gt;=V$4),"■","")</f>
        <v>■</v>
      </c>
      <c r="W93" s="11" t="str">
        <f aca="false">IF(AND($G93&lt;=W$5,$H93&gt;=W$4),"■","")</f>
        <v>■</v>
      </c>
      <c r="X93" s="11" t="str">
        <f aca="false">IF(AND($G93&lt;=X$5,$H93&gt;=X$4),"■","")</f>
        <v>■</v>
      </c>
      <c r="Y93" s="11" t="str">
        <f aca="false">IF(AND($G93&lt;=Y$5,$H93&gt;=Y$4),"■","")</f>
        <v>■</v>
      </c>
      <c r="Z93" s="11" t="str">
        <f aca="false">IF(AND($G93&lt;=Z$5,$H93&gt;=Z$4),"■","")</f>
        <v>■</v>
      </c>
      <c r="AA93" s="11" t="str">
        <f aca="false">IF(AND($G93&lt;=AA$5,$H93&gt;=AA$4),"■","")</f>
        <v>■</v>
      </c>
      <c r="AB93" s="11" t="str">
        <f aca="false">IF(AND($G93&lt;=AB$5,$H93&gt;=AB$4),"■","")</f>
        <v/>
      </c>
    </row>
    <row r="94" customFormat="false" ht="23.85" hidden="false" customHeight="false" outlineLevel="0" collapsed="false">
      <c r="A94" s="4" t="s">
        <v>742</v>
      </c>
      <c r="B94" s="4" t="s">
        <v>721</v>
      </c>
      <c r="C94" s="4" t="s">
        <v>743</v>
      </c>
      <c r="D94" s="4" t="s">
        <v>744</v>
      </c>
      <c r="E94" s="4" t="s">
        <v>34</v>
      </c>
      <c r="F94" s="15" t="s">
        <v>428</v>
      </c>
      <c r="G94" s="10" t="n">
        <v>30</v>
      </c>
      <c r="H94" s="10" t="n">
        <v>60</v>
      </c>
      <c r="I94" s="16" t="n">
        <f aca="false">IF(OR(LEFT($B94,2)="P0",$H94&lt;=$G$3),$H94,IF(LEFT($B94,2)="P9",$H94-$E$3+$C$3,ROUND($H94*$C$3/$E$3,0)))</f>
        <v>60</v>
      </c>
      <c r="J94" s="4" t="s">
        <v>745</v>
      </c>
      <c r="K94" s="4" t="s">
        <v>517</v>
      </c>
      <c r="L94" s="4" t="s">
        <v>516</v>
      </c>
      <c r="M94" s="4" t="s">
        <v>416</v>
      </c>
      <c r="N94" s="11" t="str">
        <f aca="false">IF(AND($G94&lt;=N$5,$H94&gt;=N$4),"■","")</f>
        <v/>
      </c>
      <c r="O94" s="11" t="str">
        <f aca="false">IF(AND($G94&lt;=O$5,$H94&gt;=O$4),"■","")</f>
        <v/>
      </c>
      <c r="P94" s="11" t="str">
        <f aca="false">IF(AND($G94&lt;=P$5,$H94&gt;=P$4),"■","")</f>
        <v/>
      </c>
      <c r="Q94" s="11" t="str">
        <f aca="false">IF(AND($G94&lt;=Q$5,$H94&gt;=Q$4),"■","")</f>
        <v/>
      </c>
      <c r="R94" s="11" t="str">
        <f aca="false">IF(AND($G94&lt;=R$5,$H94&gt;=R$4),"■","")</f>
        <v/>
      </c>
      <c r="S94" s="11" t="str">
        <f aca="false">IF(AND($G94&lt;=S$5,$H94&gt;=S$4),"■","")</f>
        <v>■</v>
      </c>
      <c r="T94" s="11" t="str">
        <f aca="false">IF(AND($G94&lt;=T$5,$H94&gt;=T$4),"■","")</f>
        <v>■</v>
      </c>
      <c r="U94" s="11" t="str">
        <f aca="false">IF(AND($G94&lt;=U$5,$H94&gt;=U$4),"■","")</f>
        <v>■</v>
      </c>
      <c r="V94" s="11" t="str">
        <f aca="false">IF(AND($G94&lt;=V$5,$H94&gt;=V$4),"■","")</f>
        <v>■</v>
      </c>
      <c r="W94" s="11" t="str">
        <f aca="false">IF(AND($G94&lt;=W$5,$H94&gt;=W$4),"■","")</f>
        <v>■</v>
      </c>
      <c r="X94" s="11" t="str">
        <f aca="false">IF(AND($G94&lt;=X$5,$H94&gt;=X$4),"■","")</f>
        <v/>
      </c>
      <c r="Y94" s="11" t="str">
        <f aca="false">IF(AND($G94&lt;=Y$5,$H94&gt;=Y$4),"■","")</f>
        <v/>
      </c>
      <c r="Z94" s="11" t="str">
        <f aca="false">IF(AND($G94&lt;=Z$5,$H94&gt;=Z$4),"■","")</f>
        <v/>
      </c>
      <c r="AA94" s="11" t="str">
        <f aca="false">IF(AND($G94&lt;=AA$5,$H94&gt;=AA$4),"■","")</f>
        <v/>
      </c>
      <c r="AB94" s="11" t="str">
        <f aca="false">IF(AND($G94&lt;=AB$5,$H94&gt;=AB$4),"■","")</f>
        <v/>
      </c>
    </row>
    <row r="95" customFormat="false" ht="15" hidden="false" customHeight="false" outlineLevel="0" collapsed="false">
      <c r="A95" s="4" t="s">
        <v>746</v>
      </c>
      <c r="B95" s="4" t="s">
        <v>721</v>
      </c>
      <c r="C95" s="4" t="s">
        <v>747</v>
      </c>
      <c r="D95" s="4" t="s">
        <v>748</v>
      </c>
      <c r="E95" s="4" t="s">
        <v>32</v>
      </c>
      <c r="F95" s="15" t="s">
        <v>414</v>
      </c>
      <c r="G95" s="10" t="n">
        <v>7</v>
      </c>
      <c r="H95" s="10" t="n">
        <v>90</v>
      </c>
      <c r="I95" s="16" t="n">
        <f aca="false">IF(OR(LEFT($B95,2)="P0",$H95&lt;=$G$3),$H95,IF(LEFT($B95,2)="P9",$H95-$E$3+$C$3,ROUND($H95*$C$3/$E$3,0)))</f>
        <v>90</v>
      </c>
      <c r="J95" s="4" t="s">
        <v>724</v>
      </c>
      <c r="K95" s="4"/>
      <c r="L95" s="4" t="s">
        <v>749</v>
      </c>
      <c r="M95" s="4" t="s">
        <v>416</v>
      </c>
      <c r="N95" s="11" t="str">
        <f aca="false">IF(AND($G95&lt;=N$5,$H95&gt;=N$4),"■","")</f>
        <v/>
      </c>
      <c r="O95" s="11" t="str">
        <f aca="false">IF(AND($G95&lt;=O$5,$H95&gt;=O$4),"■","")</f>
        <v/>
      </c>
      <c r="P95" s="11" t="str">
        <f aca="false">IF(AND($G95&lt;=P$5,$H95&gt;=P$4),"■","")</f>
        <v>■</v>
      </c>
      <c r="Q95" s="11" t="str">
        <f aca="false">IF(AND($G95&lt;=Q$5,$H95&gt;=Q$4),"■","")</f>
        <v>■</v>
      </c>
      <c r="R95" s="11" t="str">
        <f aca="false">IF(AND($G95&lt;=R$5,$H95&gt;=R$4),"■","")</f>
        <v>■</v>
      </c>
      <c r="S95" s="11" t="str">
        <f aca="false">IF(AND($G95&lt;=S$5,$H95&gt;=S$4),"■","")</f>
        <v>■</v>
      </c>
      <c r="T95" s="11" t="str">
        <f aca="false">IF(AND($G95&lt;=T$5,$H95&gt;=T$4),"■","")</f>
        <v>■</v>
      </c>
      <c r="U95" s="11" t="str">
        <f aca="false">IF(AND($G95&lt;=U$5,$H95&gt;=U$4),"■","")</f>
        <v>■</v>
      </c>
      <c r="V95" s="11" t="str">
        <f aca="false">IF(AND($G95&lt;=V$5,$H95&gt;=V$4),"■","")</f>
        <v>■</v>
      </c>
      <c r="W95" s="11" t="str">
        <f aca="false">IF(AND($G95&lt;=W$5,$H95&gt;=W$4),"■","")</f>
        <v>■</v>
      </c>
      <c r="X95" s="11" t="str">
        <f aca="false">IF(AND($G95&lt;=X$5,$H95&gt;=X$4),"■","")</f>
        <v>■</v>
      </c>
      <c r="Y95" s="11" t="str">
        <f aca="false">IF(AND($G95&lt;=Y$5,$H95&gt;=Y$4),"■","")</f>
        <v>■</v>
      </c>
      <c r="Z95" s="11" t="str">
        <f aca="false">IF(AND($G95&lt;=Z$5,$H95&gt;=Z$4),"■","")</f>
        <v>■</v>
      </c>
      <c r="AA95" s="11" t="str">
        <f aca="false">IF(AND($G95&lt;=AA$5,$H95&gt;=AA$4),"■","")</f>
        <v>■</v>
      </c>
      <c r="AB95" s="11" t="str">
        <f aca="false">IF(AND($G95&lt;=AB$5,$H95&gt;=AB$4),"■","")</f>
        <v/>
      </c>
    </row>
    <row r="96" customFormat="false" ht="23.85" hidden="false" customHeight="false" outlineLevel="0" collapsed="false">
      <c r="A96" s="4" t="s">
        <v>283</v>
      </c>
      <c r="B96" s="4" t="s">
        <v>750</v>
      </c>
      <c r="C96" s="4" t="s">
        <v>751</v>
      </c>
      <c r="D96" s="4" t="s">
        <v>752</v>
      </c>
      <c r="E96" s="4" t="s">
        <v>34</v>
      </c>
      <c r="F96" s="15" t="s">
        <v>414</v>
      </c>
      <c r="G96" s="10" t="n">
        <v>55</v>
      </c>
      <c r="H96" s="10" t="n">
        <v>60</v>
      </c>
      <c r="I96" s="16" t="n">
        <f aca="false">IF(OR(LEFT($B96,2)="P0",$H96&lt;=$G$3),$H96,IF(LEFT($B96,2)="P9",$H96-$E$3+$C$3,ROUND($H96*$C$3/$E$3,0)))</f>
        <v>60</v>
      </c>
      <c r="J96" s="4"/>
      <c r="K96" s="4" t="s">
        <v>735</v>
      </c>
      <c r="L96" s="4" t="s">
        <v>504</v>
      </c>
      <c r="M96" s="4" t="s">
        <v>416</v>
      </c>
      <c r="N96" s="11" t="str">
        <f aca="false">IF(AND($G96&lt;=N$5,$H96&gt;=N$4),"■","")</f>
        <v/>
      </c>
      <c r="O96" s="11" t="str">
        <f aca="false">IF(AND($G96&lt;=O$5,$H96&gt;=O$4),"■","")</f>
        <v/>
      </c>
      <c r="P96" s="11" t="str">
        <f aca="false">IF(AND($G96&lt;=P$5,$H96&gt;=P$4),"■","")</f>
        <v/>
      </c>
      <c r="Q96" s="11" t="str">
        <f aca="false">IF(AND($G96&lt;=Q$5,$H96&gt;=Q$4),"■","")</f>
        <v/>
      </c>
      <c r="R96" s="11" t="str">
        <f aca="false">IF(AND($G96&lt;=R$5,$H96&gt;=R$4),"■","")</f>
        <v/>
      </c>
      <c r="S96" s="11" t="str">
        <f aca="false">IF(AND($G96&lt;=S$5,$H96&gt;=S$4),"■","")</f>
        <v/>
      </c>
      <c r="T96" s="11" t="str">
        <f aca="false">IF(AND($G96&lt;=T$5,$H96&gt;=T$4),"■","")</f>
        <v/>
      </c>
      <c r="U96" s="11" t="str">
        <f aca="false">IF(AND($G96&lt;=U$5,$H96&gt;=U$4),"■","")</f>
        <v/>
      </c>
      <c r="V96" s="11" t="str">
        <f aca="false">IF(AND($G96&lt;=V$5,$H96&gt;=V$4),"■","")</f>
        <v>■</v>
      </c>
      <c r="W96" s="11" t="str">
        <f aca="false">IF(AND($G96&lt;=W$5,$H96&gt;=W$4),"■","")</f>
        <v>■</v>
      </c>
      <c r="X96" s="11" t="str">
        <f aca="false">IF(AND($G96&lt;=X$5,$H96&gt;=X$4),"■","")</f>
        <v/>
      </c>
      <c r="Y96" s="11" t="str">
        <f aca="false">IF(AND($G96&lt;=Y$5,$H96&gt;=Y$4),"■","")</f>
        <v/>
      </c>
      <c r="Z96" s="11" t="str">
        <f aca="false">IF(AND($G96&lt;=Z$5,$H96&gt;=Z$4),"■","")</f>
        <v/>
      </c>
      <c r="AA96" s="11" t="str">
        <f aca="false">IF(AND($G96&lt;=AA$5,$H96&gt;=AA$4),"■","")</f>
        <v/>
      </c>
      <c r="AB96" s="11" t="str">
        <f aca="false">IF(AND($G96&lt;=AB$5,$H96&gt;=AB$4),"■","")</f>
        <v/>
      </c>
    </row>
    <row r="97" customFormat="false" ht="23.85" hidden="false" customHeight="false" outlineLevel="0" collapsed="false">
      <c r="A97" s="4" t="s">
        <v>753</v>
      </c>
      <c r="B97" s="4" t="s">
        <v>750</v>
      </c>
      <c r="C97" s="4" t="s">
        <v>83</v>
      </c>
      <c r="D97" s="4" t="s">
        <v>754</v>
      </c>
      <c r="E97" s="4" t="s">
        <v>34</v>
      </c>
      <c r="F97" s="15" t="s">
        <v>428</v>
      </c>
      <c r="G97" s="10" t="n">
        <v>60</v>
      </c>
      <c r="H97" s="10" t="n">
        <v>65</v>
      </c>
      <c r="I97" s="16" t="n">
        <f aca="false">IF(OR(LEFT($B97,2)="P0",$H97&lt;=$G$3),$H97,IF(LEFT($B97,2)="P9",$H97-$E$3+$C$3,ROUND($H97*$C$3/$E$3,0)))</f>
        <v>65</v>
      </c>
      <c r="J97" s="4"/>
      <c r="K97" s="4" t="s">
        <v>283</v>
      </c>
      <c r="L97" s="4" t="s">
        <v>516</v>
      </c>
      <c r="M97" s="4" t="s">
        <v>416</v>
      </c>
      <c r="N97" s="11" t="str">
        <f aca="false">IF(AND($G97&lt;=N$5,$H97&gt;=N$4),"■","")</f>
        <v/>
      </c>
      <c r="O97" s="11" t="str">
        <f aca="false">IF(AND($G97&lt;=O$5,$H97&gt;=O$4),"■","")</f>
        <v/>
      </c>
      <c r="P97" s="11" t="str">
        <f aca="false">IF(AND($G97&lt;=P$5,$H97&gt;=P$4),"■","")</f>
        <v/>
      </c>
      <c r="Q97" s="11" t="str">
        <f aca="false">IF(AND($G97&lt;=Q$5,$H97&gt;=Q$4),"■","")</f>
        <v/>
      </c>
      <c r="R97" s="11" t="str">
        <f aca="false">IF(AND($G97&lt;=R$5,$H97&gt;=R$4),"■","")</f>
        <v/>
      </c>
      <c r="S97" s="11" t="str">
        <f aca="false">IF(AND($G97&lt;=S$5,$H97&gt;=S$4),"■","")</f>
        <v/>
      </c>
      <c r="T97" s="11" t="str">
        <f aca="false">IF(AND($G97&lt;=T$5,$H97&gt;=T$4),"■","")</f>
        <v/>
      </c>
      <c r="U97" s="11" t="str">
        <f aca="false">IF(AND($G97&lt;=U$5,$H97&gt;=U$4),"■","")</f>
        <v/>
      </c>
      <c r="V97" s="11" t="str">
        <f aca="false">IF(AND($G97&lt;=V$5,$H97&gt;=V$4),"■","")</f>
        <v/>
      </c>
      <c r="W97" s="11" t="str">
        <f aca="false">IF(AND($G97&lt;=W$5,$H97&gt;=W$4),"■","")</f>
        <v>■</v>
      </c>
      <c r="X97" s="11" t="str">
        <f aca="false">IF(AND($G97&lt;=X$5,$H97&gt;=X$4),"■","")</f>
        <v>■</v>
      </c>
      <c r="Y97" s="11" t="str">
        <f aca="false">IF(AND($G97&lt;=Y$5,$H97&gt;=Y$4),"■","")</f>
        <v/>
      </c>
      <c r="Z97" s="11" t="str">
        <f aca="false">IF(AND($G97&lt;=Z$5,$H97&gt;=Z$4),"■","")</f>
        <v/>
      </c>
      <c r="AA97" s="11" t="str">
        <f aca="false">IF(AND($G97&lt;=AA$5,$H97&gt;=AA$4),"■","")</f>
        <v/>
      </c>
      <c r="AB97" s="11" t="str">
        <f aca="false">IF(AND($G97&lt;=AB$5,$H97&gt;=AB$4),"■","")</f>
        <v/>
      </c>
    </row>
    <row r="98" customFormat="false" ht="15" hidden="false" customHeight="false" outlineLevel="0" collapsed="false">
      <c r="A98" s="4" t="s">
        <v>755</v>
      </c>
      <c r="B98" s="4" t="s">
        <v>750</v>
      </c>
      <c r="C98" s="4" t="s">
        <v>756</v>
      </c>
      <c r="D98" s="4" t="s">
        <v>757</v>
      </c>
      <c r="E98" s="4" t="s">
        <v>34</v>
      </c>
      <c r="F98" s="15" t="s">
        <v>428</v>
      </c>
      <c r="G98" s="10" t="n">
        <v>62</v>
      </c>
      <c r="H98" s="10" t="n">
        <v>70</v>
      </c>
      <c r="I98" s="16" t="n">
        <f aca="false">IF(OR(LEFT($B98,2)="P0",$H98&lt;=$G$3),$H98,IF(LEFT($B98,2)="P9",$H98-$E$3+$C$3,ROUND($H98*$C$3/$E$3,0)))</f>
        <v>70</v>
      </c>
      <c r="J98" s="4"/>
      <c r="K98" s="4" t="s">
        <v>753</v>
      </c>
      <c r="L98" s="4" t="s">
        <v>758</v>
      </c>
      <c r="M98" s="4" t="s">
        <v>416</v>
      </c>
      <c r="N98" s="11" t="str">
        <f aca="false">IF(AND($G98&lt;=N$5,$H98&gt;=N$4),"■","")</f>
        <v/>
      </c>
      <c r="O98" s="11" t="str">
        <f aca="false">IF(AND($G98&lt;=O$5,$H98&gt;=O$4),"■","")</f>
        <v/>
      </c>
      <c r="P98" s="11" t="str">
        <f aca="false">IF(AND($G98&lt;=P$5,$H98&gt;=P$4),"■","")</f>
        <v/>
      </c>
      <c r="Q98" s="11" t="str">
        <f aca="false">IF(AND($G98&lt;=Q$5,$H98&gt;=Q$4),"■","")</f>
        <v/>
      </c>
      <c r="R98" s="11" t="str">
        <f aca="false">IF(AND($G98&lt;=R$5,$H98&gt;=R$4),"■","")</f>
        <v/>
      </c>
      <c r="S98" s="11" t="str">
        <f aca="false">IF(AND($G98&lt;=S$5,$H98&gt;=S$4),"■","")</f>
        <v/>
      </c>
      <c r="T98" s="11" t="str">
        <f aca="false">IF(AND($G98&lt;=T$5,$H98&gt;=T$4),"■","")</f>
        <v/>
      </c>
      <c r="U98" s="11" t="str">
        <f aca="false">IF(AND($G98&lt;=U$5,$H98&gt;=U$4),"■","")</f>
        <v/>
      </c>
      <c r="V98" s="11" t="str">
        <f aca="false">IF(AND($G98&lt;=V$5,$H98&gt;=V$4),"■","")</f>
        <v/>
      </c>
      <c r="W98" s="11" t="str">
        <f aca="false">IF(AND($G98&lt;=W$5,$H98&gt;=W$4),"■","")</f>
        <v>■</v>
      </c>
      <c r="X98" s="11" t="str">
        <f aca="false">IF(AND($G98&lt;=X$5,$H98&gt;=X$4),"■","")</f>
        <v>■</v>
      </c>
      <c r="Y98" s="11" t="str">
        <f aca="false">IF(AND($G98&lt;=Y$5,$H98&gt;=Y$4),"■","")</f>
        <v>■</v>
      </c>
      <c r="Z98" s="11" t="str">
        <f aca="false">IF(AND($G98&lt;=Z$5,$H98&gt;=Z$4),"■","")</f>
        <v/>
      </c>
      <c r="AA98" s="11" t="str">
        <f aca="false">IF(AND($G98&lt;=AA$5,$H98&gt;=AA$4),"■","")</f>
        <v/>
      </c>
      <c r="AB98" s="11" t="str">
        <f aca="false">IF(AND($G98&lt;=AB$5,$H98&gt;=AB$4),"■","")</f>
        <v/>
      </c>
    </row>
    <row r="99" customFormat="false" ht="23.85" hidden="false" customHeight="false" outlineLevel="0" collapsed="false">
      <c r="A99" s="4" t="s">
        <v>759</v>
      </c>
      <c r="B99" s="4" t="s">
        <v>750</v>
      </c>
      <c r="C99" s="4" t="s">
        <v>760</v>
      </c>
      <c r="D99" s="4" t="s">
        <v>761</v>
      </c>
      <c r="E99" s="4" t="s">
        <v>34</v>
      </c>
      <c r="F99" s="15" t="s">
        <v>428</v>
      </c>
      <c r="G99" s="10" t="n">
        <v>80</v>
      </c>
      <c r="H99" s="10" t="n">
        <v>88</v>
      </c>
      <c r="I99" s="16" t="n">
        <f aca="false">IF(OR(LEFT($B99,2)="P0",$H99&lt;=$G$3),$H99,IF(LEFT($B99,2)="P9",$H99-$E$3+$C$3,ROUND($H99*$C$3/$E$3,0)))</f>
        <v>88</v>
      </c>
      <c r="J99" s="4"/>
      <c r="K99" s="4" t="s">
        <v>601</v>
      </c>
      <c r="L99" s="4" t="s">
        <v>762</v>
      </c>
      <c r="M99" s="4" t="s">
        <v>416</v>
      </c>
      <c r="N99" s="11" t="str">
        <f aca="false">IF(AND($G99&lt;=N$5,$H99&gt;=N$4),"■","")</f>
        <v/>
      </c>
      <c r="O99" s="11" t="str">
        <f aca="false">IF(AND($G99&lt;=O$5,$H99&gt;=O$4),"■","")</f>
        <v/>
      </c>
      <c r="P99" s="11" t="str">
        <f aca="false">IF(AND($G99&lt;=P$5,$H99&gt;=P$4),"■","")</f>
        <v/>
      </c>
      <c r="Q99" s="11" t="str">
        <f aca="false">IF(AND($G99&lt;=Q$5,$H99&gt;=Q$4),"■","")</f>
        <v/>
      </c>
      <c r="R99" s="11" t="str">
        <f aca="false">IF(AND($G99&lt;=R$5,$H99&gt;=R$4),"■","")</f>
        <v/>
      </c>
      <c r="S99" s="11" t="str">
        <f aca="false">IF(AND($G99&lt;=S$5,$H99&gt;=S$4),"■","")</f>
        <v/>
      </c>
      <c r="T99" s="11" t="str">
        <f aca="false">IF(AND($G99&lt;=T$5,$H99&gt;=T$4),"■","")</f>
        <v/>
      </c>
      <c r="U99" s="11" t="str">
        <f aca="false">IF(AND($G99&lt;=U$5,$H99&gt;=U$4),"■","")</f>
        <v/>
      </c>
      <c r="V99" s="11" t="str">
        <f aca="false">IF(AND($G99&lt;=V$5,$H99&gt;=V$4),"■","")</f>
        <v/>
      </c>
      <c r="W99" s="11" t="str">
        <f aca="false">IF(AND($G99&lt;=W$5,$H99&gt;=W$4),"■","")</f>
        <v/>
      </c>
      <c r="X99" s="11" t="str">
        <f aca="false">IF(AND($G99&lt;=X$5,$H99&gt;=X$4),"■","")</f>
        <v/>
      </c>
      <c r="Y99" s="11" t="str">
        <f aca="false">IF(AND($G99&lt;=Y$5,$H99&gt;=Y$4),"■","")</f>
        <v/>
      </c>
      <c r="Z99" s="11" t="str">
        <f aca="false">IF(AND($G99&lt;=Z$5,$H99&gt;=Z$4),"■","")</f>
        <v>■</v>
      </c>
      <c r="AA99" s="11" t="str">
        <f aca="false">IF(AND($G99&lt;=AA$5,$H99&gt;=AA$4),"■","")</f>
        <v>■</v>
      </c>
      <c r="AB99" s="11" t="str">
        <f aca="false">IF(AND($G99&lt;=AB$5,$H99&gt;=AB$4),"■","")</f>
        <v/>
      </c>
    </row>
    <row r="100" customFormat="false" ht="23.85" hidden="false" customHeight="false" outlineLevel="0" collapsed="false">
      <c r="A100" s="4" t="s">
        <v>763</v>
      </c>
      <c r="B100" s="4" t="s">
        <v>750</v>
      </c>
      <c r="C100" s="4" t="s">
        <v>300</v>
      </c>
      <c r="D100" s="4" t="s">
        <v>764</v>
      </c>
      <c r="E100" s="4" t="s">
        <v>34</v>
      </c>
      <c r="F100" s="15" t="s">
        <v>428</v>
      </c>
      <c r="G100" s="10" t="n">
        <v>85</v>
      </c>
      <c r="H100" s="10" t="n">
        <v>90</v>
      </c>
      <c r="I100" s="16" t="n">
        <f aca="false">IF(OR(LEFT($B100,2)="P0",$H100&lt;=$G$3),$H100,IF(LEFT($B100,2)="P9",$H100-$E$3+$C$3,ROUND($H100*$C$3/$E$3,0)))</f>
        <v>90</v>
      </c>
      <c r="J100" s="4"/>
      <c r="K100" s="4" t="s">
        <v>759</v>
      </c>
      <c r="L100" s="4" t="s">
        <v>765</v>
      </c>
      <c r="M100" s="4" t="s">
        <v>416</v>
      </c>
      <c r="N100" s="11" t="str">
        <f aca="false">IF(AND($G100&lt;=N$5,$H100&gt;=N$4),"■","")</f>
        <v/>
      </c>
      <c r="O100" s="11" t="str">
        <f aca="false">IF(AND($G100&lt;=O$5,$H100&gt;=O$4),"■","")</f>
        <v/>
      </c>
      <c r="P100" s="11" t="str">
        <f aca="false">IF(AND($G100&lt;=P$5,$H100&gt;=P$4),"■","")</f>
        <v/>
      </c>
      <c r="Q100" s="11" t="str">
        <f aca="false">IF(AND($G100&lt;=Q$5,$H100&gt;=Q$4),"■","")</f>
        <v/>
      </c>
      <c r="R100" s="11" t="str">
        <f aca="false">IF(AND($G100&lt;=R$5,$H100&gt;=R$4),"■","")</f>
        <v/>
      </c>
      <c r="S100" s="11" t="str">
        <f aca="false">IF(AND($G100&lt;=S$5,$H100&gt;=S$4),"■","")</f>
        <v/>
      </c>
      <c r="T100" s="11" t="str">
        <f aca="false">IF(AND($G100&lt;=T$5,$H100&gt;=T$4),"■","")</f>
        <v/>
      </c>
      <c r="U100" s="11" t="str">
        <f aca="false">IF(AND($G100&lt;=U$5,$H100&gt;=U$4),"■","")</f>
        <v/>
      </c>
      <c r="V100" s="11" t="str">
        <f aca="false">IF(AND($G100&lt;=V$5,$H100&gt;=V$4),"■","")</f>
        <v/>
      </c>
      <c r="W100" s="11" t="str">
        <f aca="false">IF(AND($G100&lt;=W$5,$H100&gt;=W$4),"■","")</f>
        <v/>
      </c>
      <c r="X100" s="11" t="str">
        <f aca="false">IF(AND($G100&lt;=X$5,$H100&gt;=X$4),"■","")</f>
        <v/>
      </c>
      <c r="Y100" s="11" t="str">
        <f aca="false">IF(AND($G100&lt;=Y$5,$H100&gt;=Y$4),"■","")</f>
        <v/>
      </c>
      <c r="Z100" s="11" t="str">
        <f aca="false">IF(AND($G100&lt;=Z$5,$H100&gt;=Z$4),"■","")</f>
        <v/>
      </c>
      <c r="AA100" s="11" t="str">
        <f aca="false">IF(AND($G100&lt;=AA$5,$H100&gt;=AA$4),"■","")</f>
        <v>■</v>
      </c>
      <c r="AB100" s="11" t="str">
        <f aca="false">IF(AND($G100&lt;=AB$5,$H100&gt;=AB$4),"■","")</f>
        <v/>
      </c>
    </row>
    <row r="101" customFormat="false" ht="23.85" hidden="false" customHeight="false" outlineLevel="0" collapsed="false">
      <c r="A101" s="4" t="s">
        <v>766</v>
      </c>
      <c r="B101" s="4" t="s">
        <v>767</v>
      </c>
      <c r="C101" s="4" t="s">
        <v>768</v>
      </c>
      <c r="D101" s="4" t="s">
        <v>769</v>
      </c>
      <c r="E101" s="4" t="s">
        <v>34</v>
      </c>
      <c r="F101" s="15" t="s">
        <v>428</v>
      </c>
      <c r="G101" s="10" t="n">
        <v>90</v>
      </c>
      <c r="H101" s="10" t="n">
        <v>270</v>
      </c>
      <c r="I101" s="16" t="n">
        <f aca="false">IF(OR(LEFT($B101,2)="P0",$H101&lt;=$G$3),$H101,IF(LEFT($B101,2)="P9",$H101-$E$3+$C$3,ROUND($H101*$C$3/$E$3,0)))</f>
        <v>270</v>
      </c>
      <c r="J101" s="4" t="s">
        <v>770</v>
      </c>
      <c r="K101" s="4" t="s">
        <v>763</v>
      </c>
      <c r="L101" s="4" t="s">
        <v>771</v>
      </c>
      <c r="M101" s="4" t="s">
        <v>416</v>
      </c>
      <c r="N101" s="11" t="str">
        <f aca="false">IF(AND($G101&lt;=N$5,$H101&gt;=N$4),"■","")</f>
        <v/>
      </c>
      <c r="O101" s="11" t="str">
        <f aca="false">IF(AND($G101&lt;=O$5,$H101&gt;=O$4),"■","")</f>
        <v/>
      </c>
      <c r="P101" s="11" t="str">
        <f aca="false">IF(AND($G101&lt;=P$5,$H101&gt;=P$4),"■","")</f>
        <v/>
      </c>
      <c r="Q101" s="11" t="str">
        <f aca="false">IF(AND($G101&lt;=Q$5,$H101&gt;=Q$4),"■","")</f>
        <v/>
      </c>
      <c r="R101" s="11" t="str">
        <f aca="false">IF(AND($G101&lt;=R$5,$H101&gt;=R$4),"■","")</f>
        <v/>
      </c>
      <c r="S101" s="11" t="str">
        <f aca="false">IF(AND($G101&lt;=S$5,$H101&gt;=S$4),"■","")</f>
        <v/>
      </c>
      <c r="T101" s="11" t="str">
        <f aca="false">IF(AND($G101&lt;=T$5,$H101&gt;=T$4),"■","")</f>
        <v/>
      </c>
      <c r="U101" s="11" t="str">
        <f aca="false">IF(AND($G101&lt;=U$5,$H101&gt;=U$4),"■","")</f>
        <v/>
      </c>
      <c r="V101" s="11" t="str">
        <f aca="false">IF(AND($G101&lt;=V$5,$H101&gt;=V$4),"■","")</f>
        <v/>
      </c>
      <c r="W101" s="11" t="str">
        <f aca="false">IF(AND($G101&lt;=W$5,$H101&gt;=W$4),"■","")</f>
        <v/>
      </c>
      <c r="X101" s="11" t="str">
        <f aca="false">IF(AND($G101&lt;=X$5,$H101&gt;=X$4),"■","")</f>
        <v/>
      </c>
      <c r="Y101" s="11" t="str">
        <f aca="false">IF(AND($G101&lt;=Y$5,$H101&gt;=Y$4),"■","")</f>
        <v/>
      </c>
      <c r="Z101" s="11" t="str">
        <f aca="false">IF(AND($G101&lt;=Z$5,$H101&gt;=Z$4),"■","")</f>
        <v/>
      </c>
      <c r="AA101" s="11" t="str">
        <f aca="false">IF(AND($G101&lt;=AA$5,$H101&gt;=AA$4),"■","")</f>
        <v>■</v>
      </c>
      <c r="AB101" s="11" t="str">
        <f aca="false">IF(AND($G101&lt;=AB$5,$H101&gt;=AB$4),"■","")</f>
        <v>■</v>
      </c>
    </row>
    <row r="102" customFormat="false" ht="23.85" hidden="false" customHeight="false" outlineLevel="0" collapsed="false">
      <c r="A102" s="4" t="s">
        <v>772</v>
      </c>
      <c r="B102" s="4" t="s">
        <v>767</v>
      </c>
      <c r="C102" s="4" t="s">
        <v>773</v>
      </c>
      <c r="D102" s="4" t="s">
        <v>774</v>
      </c>
      <c r="E102" s="4" t="s">
        <v>34</v>
      </c>
      <c r="F102" s="15" t="s">
        <v>428</v>
      </c>
      <c r="G102" s="10" t="n">
        <v>90</v>
      </c>
      <c r="H102" s="10" t="n">
        <v>270</v>
      </c>
      <c r="I102" s="16" t="n">
        <f aca="false">IF(OR(LEFT($B102,2)="P0",$H102&lt;=$G$3),$H102,IF(LEFT($B102,2)="P9",$H102-$E$3+$C$3,ROUND($H102*$C$3/$E$3,0)))</f>
        <v>270</v>
      </c>
      <c r="J102" s="4" t="s">
        <v>775</v>
      </c>
      <c r="K102" s="4" t="s">
        <v>763</v>
      </c>
      <c r="L102" s="4" t="s">
        <v>776</v>
      </c>
      <c r="M102" s="4" t="s">
        <v>416</v>
      </c>
      <c r="N102" s="11" t="str">
        <f aca="false">IF(AND($G102&lt;=N$5,$H102&gt;=N$4),"■","")</f>
        <v/>
      </c>
      <c r="O102" s="11" t="str">
        <f aca="false">IF(AND($G102&lt;=O$5,$H102&gt;=O$4),"■","")</f>
        <v/>
      </c>
      <c r="P102" s="11" t="str">
        <f aca="false">IF(AND($G102&lt;=P$5,$H102&gt;=P$4),"■","")</f>
        <v/>
      </c>
      <c r="Q102" s="11" t="str">
        <f aca="false">IF(AND($G102&lt;=Q$5,$H102&gt;=Q$4),"■","")</f>
        <v/>
      </c>
      <c r="R102" s="11" t="str">
        <f aca="false">IF(AND($G102&lt;=R$5,$H102&gt;=R$4),"■","")</f>
        <v/>
      </c>
      <c r="S102" s="11" t="str">
        <f aca="false">IF(AND($G102&lt;=S$5,$H102&gt;=S$4),"■","")</f>
        <v/>
      </c>
      <c r="T102" s="11" t="str">
        <f aca="false">IF(AND($G102&lt;=T$5,$H102&gt;=T$4),"■","")</f>
        <v/>
      </c>
      <c r="U102" s="11" t="str">
        <f aca="false">IF(AND($G102&lt;=U$5,$H102&gt;=U$4),"■","")</f>
        <v/>
      </c>
      <c r="V102" s="11" t="str">
        <f aca="false">IF(AND($G102&lt;=V$5,$H102&gt;=V$4),"■","")</f>
        <v/>
      </c>
      <c r="W102" s="11" t="str">
        <f aca="false">IF(AND($G102&lt;=W$5,$H102&gt;=W$4),"■","")</f>
        <v/>
      </c>
      <c r="X102" s="11" t="str">
        <f aca="false">IF(AND($G102&lt;=X$5,$H102&gt;=X$4),"■","")</f>
        <v/>
      </c>
      <c r="Y102" s="11" t="str">
        <f aca="false">IF(AND($G102&lt;=Y$5,$H102&gt;=Y$4),"■","")</f>
        <v/>
      </c>
      <c r="Z102" s="11" t="str">
        <f aca="false">IF(AND($G102&lt;=Z$5,$H102&gt;=Z$4),"■","")</f>
        <v/>
      </c>
      <c r="AA102" s="11" t="str">
        <f aca="false">IF(AND($G102&lt;=AA$5,$H102&gt;=AA$4),"■","")</f>
        <v>■</v>
      </c>
      <c r="AB102" s="11" t="str">
        <f aca="false">IF(AND($G102&lt;=AB$5,$H102&gt;=AB$4),"■","")</f>
        <v>■</v>
      </c>
    </row>
    <row r="103" customFormat="false" ht="15" hidden="false" customHeight="false" outlineLevel="0" collapsed="false">
      <c r="A103" s="4" t="s">
        <v>777</v>
      </c>
      <c r="B103" s="4" t="s">
        <v>767</v>
      </c>
      <c r="C103" s="4" t="s">
        <v>778</v>
      </c>
      <c r="D103" s="4" t="s">
        <v>779</v>
      </c>
      <c r="E103" s="4" t="s">
        <v>34</v>
      </c>
      <c r="F103" s="15" t="s">
        <v>428</v>
      </c>
      <c r="G103" s="10" t="n">
        <v>180</v>
      </c>
      <c r="H103" s="10" t="n">
        <v>180</v>
      </c>
      <c r="I103" s="16" t="n">
        <f aca="false">IF(OR(LEFT($B103,2)="P0",$H103&lt;=$G$3),$H103,IF(LEFT($B103,2)="P9",$H103-$E$3+$C$3,ROUND($H103*$C$3/$E$3,0)))</f>
        <v>180</v>
      </c>
      <c r="J103" s="4"/>
      <c r="K103" s="4" t="s">
        <v>766</v>
      </c>
      <c r="L103" s="4" t="s">
        <v>516</v>
      </c>
      <c r="M103" s="4" t="s">
        <v>416</v>
      </c>
      <c r="N103" s="11" t="str">
        <f aca="false">IF(AND($G103&lt;=N$5,$H103&gt;=N$4),"■","")</f>
        <v/>
      </c>
      <c r="O103" s="11" t="str">
        <f aca="false">IF(AND($G103&lt;=O$5,$H103&gt;=O$4),"■","")</f>
        <v/>
      </c>
      <c r="P103" s="11" t="str">
        <f aca="false">IF(AND($G103&lt;=P$5,$H103&gt;=P$4),"■","")</f>
        <v/>
      </c>
      <c r="Q103" s="11" t="str">
        <f aca="false">IF(AND($G103&lt;=Q$5,$H103&gt;=Q$4),"■","")</f>
        <v/>
      </c>
      <c r="R103" s="11" t="str">
        <f aca="false">IF(AND($G103&lt;=R$5,$H103&gt;=R$4),"■","")</f>
        <v/>
      </c>
      <c r="S103" s="11" t="str">
        <f aca="false">IF(AND($G103&lt;=S$5,$H103&gt;=S$4),"■","")</f>
        <v/>
      </c>
      <c r="T103" s="11" t="str">
        <f aca="false">IF(AND($G103&lt;=T$5,$H103&gt;=T$4),"■","")</f>
        <v/>
      </c>
      <c r="U103" s="11" t="str">
        <f aca="false">IF(AND($G103&lt;=U$5,$H103&gt;=U$4),"■","")</f>
        <v/>
      </c>
      <c r="V103" s="11" t="str">
        <f aca="false">IF(AND($G103&lt;=V$5,$H103&gt;=V$4),"■","")</f>
        <v/>
      </c>
      <c r="W103" s="11" t="str">
        <f aca="false">IF(AND($G103&lt;=W$5,$H103&gt;=W$4),"■","")</f>
        <v/>
      </c>
      <c r="X103" s="11" t="str">
        <f aca="false">IF(AND($G103&lt;=X$5,$H103&gt;=X$4),"■","")</f>
        <v/>
      </c>
      <c r="Y103" s="11" t="str">
        <f aca="false">IF(AND($G103&lt;=Y$5,$H103&gt;=Y$4),"■","")</f>
        <v/>
      </c>
      <c r="Z103" s="11" t="str">
        <f aca="false">IF(AND($G103&lt;=Z$5,$H103&gt;=Z$4),"■","")</f>
        <v/>
      </c>
      <c r="AA103" s="11" t="str">
        <f aca="false">IF(AND($G103&lt;=AA$5,$H103&gt;=AA$4),"■","")</f>
        <v/>
      </c>
      <c r="AB103" s="11" t="str">
        <f aca="false">IF(AND($G103&lt;=AB$5,$H103&gt;=AB$4),"■","")</f>
        <v>■</v>
      </c>
    </row>
    <row r="104" customFormat="false" ht="23.85" hidden="false" customHeight="false" outlineLevel="0" collapsed="false">
      <c r="A104" s="4" t="s">
        <v>780</v>
      </c>
      <c r="B104" s="4" t="s">
        <v>767</v>
      </c>
      <c r="C104" s="4" t="s">
        <v>781</v>
      </c>
      <c r="D104" s="4" t="s">
        <v>782</v>
      </c>
      <c r="E104" s="4" t="s">
        <v>34</v>
      </c>
      <c r="F104" s="15" t="s">
        <v>428</v>
      </c>
      <c r="G104" s="10" t="n">
        <v>240</v>
      </c>
      <c r="H104" s="10" t="n">
        <v>240</v>
      </c>
      <c r="I104" s="16" t="n">
        <f aca="false">IF(OR(LEFT($B104,2)="P0",$H104&lt;=$G$3),$H104,IF(LEFT($B104,2)="P9",$H104-$E$3+$C$3,ROUND($H104*$C$3/$E$3,0)))</f>
        <v>240</v>
      </c>
      <c r="J104" s="4"/>
      <c r="K104" s="4" t="s">
        <v>777</v>
      </c>
      <c r="L104" s="4" t="s">
        <v>758</v>
      </c>
      <c r="M104" s="4" t="s">
        <v>416</v>
      </c>
      <c r="N104" s="11" t="str">
        <f aca="false">IF(AND($G104&lt;=N$5,$H104&gt;=N$4),"■","")</f>
        <v/>
      </c>
      <c r="O104" s="11" t="str">
        <f aca="false">IF(AND($G104&lt;=O$5,$H104&gt;=O$4),"■","")</f>
        <v/>
      </c>
      <c r="P104" s="11" t="str">
        <f aca="false">IF(AND($G104&lt;=P$5,$H104&gt;=P$4),"■","")</f>
        <v/>
      </c>
      <c r="Q104" s="11" t="str">
        <f aca="false">IF(AND($G104&lt;=Q$5,$H104&gt;=Q$4),"■","")</f>
        <v/>
      </c>
      <c r="R104" s="11" t="str">
        <f aca="false">IF(AND($G104&lt;=R$5,$H104&gt;=R$4),"■","")</f>
        <v/>
      </c>
      <c r="S104" s="11" t="str">
        <f aca="false">IF(AND($G104&lt;=S$5,$H104&gt;=S$4),"■","")</f>
        <v/>
      </c>
      <c r="T104" s="11" t="str">
        <f aca="false">IF(AND($G104&lt;=T$5,$H104&gt;=T$4),"■","")</f>
        <v/>
      </c>
      <c r="U104" s="11" t="str">
        <f aca="false">IF(AND($G104&lt;=U$5,$H104&gt;=U$4),"■","")</f>
        <v/>
      </c>
      <c r="V104" s="11" t="str">
        <f aca="false">IF(AND($G104&lt;=V$5,$H104&gt;=V$4),"■","")</f>
        <v/>
      </c>
      <c r="W104" s="11" t="str">
        <f aca="false">IF(AND($G104&lt;=W$5,$H104&gt;=W$4),"■","")</f>
        <v/>
      </c>
      <c r="X104" s="11" t="str">
        <f aca="false">IF(AND($G104&lt;=X$5,$H104&gt;=X$4),"■","")</f>
        <v/>
      </c>
      <c r="Y104" s="11" t="str">
        <f aca="false">IF(AND($G104&lt;=Y$5,$H104&gt;=Y$4),"■","")</f>
        <v/>
      </c>
      <c r="Z104" s="11" t="str">
        <f aca="false">IF(AND($G104&lt;=Z$5,$H104&gt;=Z$4),"■","")</f>
        <v/>
      </c>
      <c r="AA104" s="11" t="str">
        <f aca="false">IF(AND($G104&lt;=AA$5,$H104&gt;=AA$4),"■","")</f>
        <v/>
      </c>
      <c r="AB104" s="11" t="str">
        <f aca="false">IF(AND($G104&lt;=AB$5,$H104&gt;=AB$4),"■","")</f>
        <v>■</v>
      </c>
    </row>
    <row r="105" customFormat="false" ht="15" hidden="false" customHeight="false" outlineLevel="0" collapsed="false">
      <c r="A105" s="4" t="s">
        <v>783</v>
      </c>
      <c r="B105" s="4" t="s">
        <v>767</v>
      </c>
      <c r="C105" s="4" t="s">
        <v>784</v>
      </c>
      <c r="D105" s="4" t="s">
        <v>785</v>
      </c>
      <c r="E105" s="4" t="s">
        <v>34</v>
      </c>
      <c r="F105" s="15" t="s">
        <v>428</v>
      </c>
      <c r="G105" s="10" t="n">
        <v>270</v>
      </c>
      <c r="H105" s="10" t="n">
        <v>270</v>
      </c>
      <c r="I105" s="16" t="n">
        <f aca="false">IF(OR(LEFT($B105,2)="P0",$H105&lt;=$G$3),$H105,IF(LEFT($B105,2)="P9",$H105-$E$3+$C$3,ROUND($H105*$C$3/$E$3,0)))</f>
        <v>270</v>
      </c>
      <c r="J105" s="4"/>
      <c r="K105" s="4" t="s">
        <v>780</v>
      </c>
      <c r="L105" s="4" t="s">
        <v>516</v>
      </c>
      <c r="M105" s="4" t="s">
        <v>416</v>
      </c>
      <c r="N105" s="11" t="str">
        <f aca="false">IF(AND($G105&lt;=N$5,$H105&gt;=N$4),"■","")</f>
        <v/>
      </c>
      <c r="O105" s="11" t="str">
        <f aca="false">IF(AND($G105&lt;=O$5,$H105&gt;=O$4),"■","")</f>
        <v/>
      </c>
      <c r="P105" s="11" t="str">
        <f aca="false">IF(AND($G105&lt;=P$5,$H105&gt;=P$4),"■","")</f>
        <v/>
      </c>
      <c r="Q105" s="11" t="str">
        <f aca="false">IF(AND($G105&lt;=Q$5,$H105&gt;=Q$4),"■","")</f>
        <v/>
      </c>
      <c r="R105" s="11" t="str">
        <f aca="false">IF(AND($G105&lt;=R$5,$H105&gt;=R$4),"■","")</f>
        <v/>
      </c>
      <c r="S105" s="11" t="str">
        <f aca="false">IF(AND($G105&lt;=S$5,$H105&gt;=S$4),"■","")</f>
        <v/>
      </c>
      <c r="T105" s="11" t="str">
        <f aca="false">IF(AND($G105&lt;=T$5,$H105&gt;=T$4),"■","")</f>
        <v/>
      </c>
      <c r="U105" s="11" t="str">
        <f aca="false">IF(AND($G105&lt;=U$5,$H105&gt;=U$4),"■","")</f>
        <v/>
      </c>
      <c r="V105" s="11" t="str">
        <f aca="false">IF(AND($G105&lt;=V$5,$H105&gt;=V$4),"■","")</f>
        <v/>
      </c>
      <c r="W105" s="11" t="str">
        <f aca="false">IF(AND($G105&lt;=W$5,$H105&gt;=W$4),"■","")</f>
        <v/>
      </c>
      <c r="X105" s="11" t="str">
        <f aca="false">IF(AND($G105&lt;=X$5,$H105&gt;=X$4),"■","")</f>
        <v/>
      </c>
      <c r="Y105" s="11" t="str">
        <f aca="false">IF(AND($G105&lt;=Y$5,$H105&gt;=Y$4),"■","")</f>
        <v/>
      </c>
      <c r="Z105" s="11" t="str">
        <f aca="false">IF(AND($G105&lt;=Z$5,$H105&gt;=Z$4),"■","")</f>
        <v/>
      </c>
      <c r="AA105" s="11" t="str">
        <f aca="false">IF(AND($G105&lt;=AA$5,$H105&gt;=AA$4),"■","")</f>
        <v/>
      </c>
      <c r="AB105" s="11" t="str">
        <f aca="false">IF(AND($G105&lt;=AB$5,$H105&gt;=AB$4),"■","")</f>
        <v>■</v>
      </c>
    </row>
    <row r="108" customFormat="false" ht="15" hidden="false" customHeight="false" outlineLevel="0" collapsed="false">
      <c r="C108" s="5" t="s">
        <v>786</v>
      </c>
    </row>
    <row r="109" customFormat="false" ht="30" hidden="false" customHeight="true" outlineLevel="0" collapsed="false">
      <c r="C109" s="3" t="s">
        <v>402</v>
      </c>
      <c r="D109" s="3" t="s">
        <v>787</v>
      </c>
      <c r="E109" s="3" t="s">
        <v>403</v>
      </c>
    </row>
    <row r="110" customFormat="false" ht="15" hidden="false" customHeight="false" outlineLevel="0" collapsed="false">
      <c r="C110" s="4" t="s">
        <v>32</v>
      </c>
      <c r="D110" s="4" t="n">
        <f aca="false">COUNTIF($E$7:$E$105,C110)</f>
        <v>9</v>
      </c>
      <c r="E110" s="4" t="n">
        <f aca="false">COUNTIFS($E$7:$E$105,C110,$F$7:$F$105,"Yes")</f>
        <v>1</v>
      </c>
    </row>
    <row r="111" customFormat="false" ht="15" hidden="false" customHeight="false" outlineLevel="0" collapsed="false">
      <c r="C111" s="4" t="s">
        <v>34</v>
      </c>
      <c r="D111" s="4" t="n">
        <f aca="false">COUNTIF($E$7:$E$105,C111)</f>
        <v>78</v>
      </c>
      <c r="E111" s="4" t="n">
        <f aca="false">COUNTIFS($E$7:$E$105,C111,$F$7:$F$105,"Yes")</f>
        <v>48</v>
      </c>
    </row>
    <row r="112" customFormat="false" ht="15" hidden="false" customHeight="false" outlineLevel="0" collapsed="false">
      <c r="C112" s="4" t="s">
        <v>36</v>
      </c>
      <c r="D112" s="4" t="n">
        <f aca="false">COUNTIF($E$7:$E$105,C112)</f>
        <v>4</v>
      </c>
      <c r="E112" s="4" t="n">
        <f aca="false">COUNTIFS($E$7:$E$105,C112,$F$7:$F$105,"Yes")</f>
        <v>3</v>
      </c>
    </row>
    <row r="113" customFormat="false" ht="15" hidden="false" customHeight="false" outlineLevel="0" collapsed="false">
      <c r="C113" s="4" t="s">
        <v>38</v>
      </c>
      <c r="D113" s="4" t="n">
        <f aca="false">COUNTIF($E$7:$E$105,C113)</f>
        <v>8</v>
      </c>
      <c r="E113" s="4" t="n">
        <f aca="false">COUNTIFS($E$7:$E$105,C113,$F$7:$F$105,"Yes")</f>
        <v>8</v>
      </c>
    </row>
    <row r="114" customFormat="false" ht="15" hidden="false" customHeight="false" outlineLevel="0" collapsed="false">
      <c r="C114" s="17" t="s">
        <v>788</v>
      </c>
      <c r="D114" s="17" t="n">
        <f aca="false">SUM(D110:D113)</f>
        <v>99</v>
      </c>
      <c r="E114" s="17" t="n">
        <f aca="false">SUM(E110:E113)</f>
        <v>60</v>
      </c>
    </row>
  </sheetData>
  <autoFilter ref="A6:M105"/>
  <conditionalFormatting sqref="F7:F105">
    <cfRule type="cellIs" priority="2" operator="equal" aboveAverage="0" equalAverage="0" bottom="0" percent="0" rank="0" text="" dxfId="7">
      <formula>"Yes"</formula>
    </cfRule>
  </conditionalFormatting>
  <conditionalFormatting sqref="N7:AB105">
    <cfRule type="cellIs" priority="3" operator="equal" aboveAverage="0" equalAverage="0" bottom="0" percent="0" rank="0" text="" dxfId="0">
      <formula>"■"</formula>
    </cfRule>
  </conditionalFormatting>
  <dataValidations count="2">
    <dataValidation allowBlank="false" errorStyle="stop" operator="between" showDropDown="false" showErrorMessage="false" showInputMessage="false" sqref="C3" type="whole">
      <formula1>60</formula1>
      <formula2>90</formula2>
    </dataValidation>
    <dataValidation allowBlank="true" errorStyle="stop" operator="between" showDropDown="false" showErrorMessage="false" showInputMessage="false" sqref="E7:E105" type="list">
      <formula1>"Phil,Architect,Ops,Client POC"</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7A"/>
    <pageSetUpPr fitToPage="fals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8"/>
    <col collapsed="false" customWidth="true" hidden="false" outlineLevel="0" max="3" min="3" style="0" width="30"/>
    <col collapsed="false" customWidth="true" hidden="false" outlineLevel="0" max="4" min="4" style="0" width="50"/>
    <col collapsed="false" customWidth="true" hidden="false" outlineLevel="0" max="5" min="5" style="0" width="36"/>
    <col collapsed="false" customWidth="true" hidden="false" outlineLevel="0" max="6" min="6" style="0" width="16"/>
  </cols>
  <sheetData>
    <row r="1" customFormat="false" ht="17.35" hidden="false" customHeight="false" outlineLevel="0" collapsed="false">
      <c r="A1" s="1" t="s">
        <v>12</v>
      </c>
    </row>
    <row r="2" customFormat="false" ht="15" hidden="false" customHeight="false" outlineLevel="0" collapsed="false">
      <c r="A2" s="2" t="s">
        <v>789</v>
      </c>
    </row>
    <row r="4" customFormat="false" ht="30" hidden="false" customHeight="true" outlineLevel="0" collapsed="false">
      <c r="A4" s="3" t="s">
        <v>398</v>
      </c>
      <c r="B4" s="3" t="s">
        <v>790</v>
      </c>
      <c r="C4" s="3" t="s">
        <v>325</v>
      </c>
      <c r="D4" s="3" t="s">
        <v>791</v>
      </c>
      <c r="E4" s="3" t="s">
        <v>792</v>
      </c>
      <c r="F4" s="3" t="s">
        <v>793</v>
      </c>
    </row>
    <row r="5" customFormat="false" ht="23.85" hidden="false" customHeight="false" outlineLevel="0" collapsed="false">
      <c r="A5" s="4" t="s">
        <v>794</v>
      </c>
      <c r="B5" s="4" t="s">
        <v>795</v>
      </c>
      <c r="C5" s="4" t="s">
        <v>796</v>
      </c>
      <c r="D5" s="4" t="s">
        <v>797</v>
      </c>
      <c r="E5" s="4" t="s">
        <v>798</v>
      </c>
      <c r="F5" s="4" t="s">
        <v>799</v>
      </c>
    </row>
    <row r="6" customFormat="false" ht="23.85" hidden="false" customHeight="false" outlineLevel="0" collapsed="false">
      <c r="A6" s="4" t="s">
        <v>800</v>
      </c>
      <c r="B6" s="4" t="s">
        <v>801</v>
      </c>
      <c r="C6" s="4" t="s">
        <v>796</v>
      </c>
      <c r="D6" s="4" t="s">
        <v>802</v>
      </c>
      <c r="E6" s="4" t="s">
        <v>803</v>
      </c>
      <c r="F6" s="4" t="s">
        <v>804</v>
      </c>
    </row>
    <row r="7" customFormat="false" ht="15" hidden="false" customHeight="false" outlineLevel="0" collapsed="false">
      <c r="A7" s="4" t="s">
        <v>805</v>
      </c>
      <c r="B7" s="4" t="s">
        <v>806</v>
      </c>
      <c r="C7" s="4" t="s">
        <v>796</v>
      </c>
      <c r="D7" s="4" t="s">
        <v>807</v>
      </c>
      <c r="E7" s="4" t="s">
        <v>808</v>
      </c>
      <c r="F7" s="4" t="s">
        <v>616</v>
      </c>
    </row>
    <row r="8" customFormat="false" ht="15" hidden="false" customHeight="false" outlineLevel="0" collapsed="false">
      <c r="A8" s="4" t="s">
        <v>809</v>
      </c>
      <c r="B8" s="4" t="s">
        <v>810</v>
      </c>
      <c r="C8" s="4" t="s">
        <v>796</v>
      </c>
      <c r="D8" s="4" t="s">
        <v>811</v>
      </c>
      <c r="E8" s="4" t="s">
        <v>812</v>
      </c>
      <c r="F8" s="4" t="s">
        <v>621</v>
      </c>
    </row>
    <row r="9" customFormat="false" ht="15" hidden="false" customHeight="false" outlineLevel="0" collapsed="false">
      <c r="A9" s="4" t="s">
        <v>813</v>
      </c>
      <c r="B9" s="4" t="s">
        <v>814</v>
      </c>
      <c r="C9" s="4" t="s">
        <v>815</v>
      </c>
      <c r="D9" s="4" t="s">
        <v>816</v>
      </c>
      <c r="E9" s="4" t="s">
        <v>817</v>
      </c>
      <c r="F9" s="4" t="s">
        <v>629</v>
      </c>
    </row>
    <row r="10" customFormat="false" ht="23.85" hidden="false" customHeight="false" outlineLevel="0" collapsed="false">
      <c r="A10" s="4" t="s">
        <v>818</v>
      </c>
      <c r="B10" s="4" t="s">
        <v>819</v>
      </c>
      <c r="C10" s="4" t="s">
        <v>820</v>
      </c>
      <c r="D10" s="4" t="s">
        <v>821</v>
      </c>
      <c r="E10" s="4" t="s">
        <v>822</v>
      </c>
      <c r="F10" s="4" t="s">
        <v>625</v>
      </c>
    </row>
    <row r="11" customFormat="false" ht="15" hidden="false" customHeight="false" outlineLevel="0" collapsed="false">
      <c r="A11" s="4" t="s">
        <v>823</v>
      </c>
      <c r="B11" s="4" t="s">
        <v>824</v>
      </c>
      <c r="C11" s="4" t="s">
        <v>825</v>
      </c>
      <c r="D11" s="4" t="s">
        <v>826</v>
      </c>
      <c r="E11" s="4" t="s">
        <v>827</v>
      </c>
      <c r="F11" s="4" t="s">
        <v>651</v>
      </c>
    </row>
    <row r="12" customFormat="false" ht="15" hidden="false" customHeight="false" outlineLevel="0" collapsed="false">
      <c r="A12" s="4" t="s">
        <v>828</v>
      </c>
      <c r="B12" s="4" t="s">
        <v>829</v>
      </c>
      <c r="C12" s="4" t="s">
        <v>825</v>
      </c>
      <c r="D12" s="4" t="s">
        <v>830</v>
      </c>
      <c r="E12" s="4" t="s">
        <v>831</v>
      </c>
      <c r="F12" s="4" t="s">
        <v>656</v>
      </c>
    </row>
    <row r="13" customFormat="false" ht="15" hidden="false" customHeight="false" outlineLevel="0" collapsed="false">
      <c r="A13" s="4" t="s">
        <v>832</v>
      </c>
      <c r="B13" s="4" t="s">
        <v>833</v>
      </c>
      <c r="C13" s="4" t="s">
        <v>834</v>
      </c>
      <c r="D13" s="4" t="s">
        <v>835</v>
      </c>
      <c r="E13" s="4" t="s">
        <v>836</v>
      </c>
      <c r="F13" s="4" t="s">
        <v>660</v>
      </c>
    </row>
    <row r="14" customFormat="false" ht="15" hidden="false" customHeight="false" outlineLevel="0" collapsed="false">
      <c r="A14" s="4" t="s">
        <v>837</v>
      </c>
      <c r="B14" s="4" t="s">
        <v>838</v>
      </c>
      <c r="C14" s="4" t="s">
        <v>825</v>
      </c>
      <c r="D14" s="4" t="s">
        <v>839</v>
      </c>
      <c r="E14" s="4" t="s">
        <v>840</v>
      </c>
      <c r="F14" s="4" t="s">
        <v>664</v>
      </c>
    </row>
    <row r="15" customFormat="false" ht="15" hidden="false" customHeight="false" outlineLevel="0" collapsed="false">
      <c r="A15" s="4" t="s">
        <v>841</v>
      </c>
      <c r="B15" s="4" t="s">
        <v>842</v>
      </c>
      <c r="C15" s="4" t="s">
        <v>843</v>
      </c>
      <c r="D15" s="4" t="s">
        <v>844</v>
      </c>
      <c r="E15" s="4" t="s">
        <v>845</v>
      </c>
      <c r="F15" s="4" t="s">
        <v>677</v>
      </c>
    </row>
    <row r="16" customFormat="false" ht="15" hidden="false" customHeight="false" outlineLevel="0" collapsed="false">
      <c r="A16" s="4" t="s">
        <v>846</v>
      </c>
      <c r="B16" s="4" t="s">
        <v>847</v>
      </c>
      <c r="C16" s="4" t="s">
        <v>843</v>
      </c>
      <c r="D16" s="4" t="s">
        <v>848</v>
      </c>
      <c r="E16" s="4" t="s">
        <v>849</v>
      </c>
      <c r="F16" s="4" t="s">
        <v>682</v>
      </c>
    </row>
    <row r="17" customFormat="false" ht="23.85" hidden="false" customHeight="false" outlineLevel="0" collapsed="false">
      <c r="A17" s="4" t="s">
        <v>850</v>
      </c>
      <c r="B17" s="4" t="s">
        <v>851</v>
      </c>
      <c r="C17" s="4" t="s">
        <v>852</v>
      </c>
      <c r="D17" s="4" t="s">
        <v>853</v>
      </c>
      <c r="E17" s="4" t="s">
        <v>854</v>
      </c>
      <c r="F17" s="4" t="s">
        <v>686</v>
      </c>
    </row>
  </sheetData>
  <autoFilter ref="A4:F1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7A"/>
    <pageSetUpPr fitToPage="false"/>
  </sheetPr>
  <dimension ref="A1:D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60"/>
    <col collapsed="false" customWidth="true" hidden="false" outlineLevel="0" max="3" min="3" style="0" width="48"/>
    <col collapsed="false" customWidth="true" hidden="false" outlineLevel="0" max="4" min="4" style="0" width="40"/>
  </cols>
  <sheetData>
    <row r="1" customFormat="false" ht="17.35" hidden="false" customHeight="false" outlineLevel="0" collapsed="false">
      <c r="A1" s="1" t="s">
        <v>14</v>
      </c>
    </row>
    <row r="2" customFormat="false" ht="15" hidden="false" customHeight="false" outlineLevel="0" collapsed="false">
      <c r="A2" s="2" t="s">
        <v>855</v>
      </c>
    </row>
    <row r="4" customFormat="false" ht="15" hidden="false" customHeight="false" outlineLevel="0" collapsed="false">
      <c r="A4" s="5" t="s">
        <v>856</v>
      </c>
    </row>
    <row r="5" customFormat="false" ht="15" hidden="false" customHeight="false" outlineLevel="0" collapsed="false">
      <c r="A5" s="7" t="s">
        <v>857</v>
      </c>
    </row>
    <row r="6" customFormat="false" ht="15" hidden="false" customHeight="false" outlineLevel="0" collapsed="false">
      <c r="A6" s="7" t="s">
        <v>858</v>
      </c>
    </row>
    <row r="7" customFormat="false" ht="15" hidden="false" customHeight="false" outlineLevel="0" collapsed="false">
      <c r="A7" s="7" t="s">
        <v>859</v>
      </c>
    </row>
    <row r="9" customFormat="false" ht="30" hidden="false" customHeight="true" outlineLevel="0" collapsed="false">
      <c r="A9" s="3" t="s">
        <v>860</v>
      </c>
      <c r="B9" s="3" t="s">
        <v>861</v>
      </c>
      <c r="C9" s="3" t="s">
        <v>862</v>
      </c>
      <c r="D9" s="3" t="s">
        <v>863</v>
      </c>
    </row>
    <row r="10" customFormat="false" ht="23.85" hidden="false" customHeight="false" outlineLevel="0" collapsed="false">
      <c r="A10" s="4" t="s">
        <v>864</v>
      </c>
      <c r="B10" s="4" t="s">
        <v>865</v>
      </c>
      <c r="C10" s="4" t="s">
        <v>866</v>
      </c>
      <c r="D10" s="4" t="s">
        <v>867</v>
      </c>
    </row>
    <row r="11" customFormat="false" ht="15" hidden="false" customHeight="false" outlineLevel="0" collapsed="false">
      <c r="A11" s="4" t="s">
        <v>868</v>
      </c>
      <c r="B11" s="4" t="s">
        <v>869</v>
      </c>
      <c r="C11" s="4" t="s">
        <v>870</v>
      </c>
      <c r="D11" s="4" t="s">
        <v>871</v>
      </c>
    </row>
    <row r="12" customFormat="false" ht="15" hidden="false" customHeight="false" outlineLevel="0" collapsed="false">
      <c r="A12" s="4" t="s">
        <v>872</v>
      </c>
      <c r="B12" s="4" t="s">
        <v>873</v>
      </c>
      <c r="C12" s="4" t="s">
        <v>874</v>
      </c>
      <c r="D12" s="4" t="s">
        <v>871</v>
      </c>
    </row>
    <row r="13" customFormat="false" ht="15" hidden="false" customHeight="false" outlineLevel="0" collapsed="false">
      <c r="A13" s="4" t="s">
        <v>875</v>
      </c>
      <c r="B13" s="4" t="s">
        <v>876</v>
      </c>
      <c r="C13" s="4" t="s">
        <v>877</v>
      </c>
      <c r="D13" s="4" t="s">
        <v>878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7A"/>
    <pageSetUpPr fitToPage="false"/>
  </sheetPr>
  <dimension ref="A1:C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44"/>
    <col collapsed="false" customWidth="true" hidden="false" outlineLevel="0" max="3" min="3" style="0" width="90"/>
  </cols>
  <sheetData>
    <row r="1" customFormat="false" ht="17.35" hidden="false" customHeight="false" outlineLevel="0" collapsed="false">
      <c r="A1" s="1" t="s">
        <v>16</v>
      </c>
    </row>
    <row r="2" customFormat="false" ht="15" hidden="false" customHeight="false" outlineLevel="0" collapsed="false">
      <c r="A2" s="2" t="s">
        <v>879</v>
      </c>
    </row>
    <row r="4" customFormat="false" ht="30" hidden="false" customHeight="true" outlineLevel="0" collapsed="false">
      <c r="A4" s="3" t="s">
        <v>880</v>
      </c>
      <c r="B4" s="3" t="s">
        <v>863</v>
      </c>
      <c r="C4" s="3" t="s">
        <v>881</v>
      </c>
    </row>
    <row r="5" customFormat="false" ht="23.85" hidden="false" customHeight="false" outlineLevel="0" collapsed="false">
      <c r="A5" s="4" t="s">
        <v>882</v>
      </c>
      <c r="B5" s="4" t="s">
        <v>883</v>
      </c>
      <c r="C5" s="4" t="s">
        <v>884</v>
      </c>
    </row>
    <row r="6" customFormat="false" ht="23.85" hidden="false" customHeight="false" outlineLevel="0" collapsed="false">
      <c r="A6" s="4" t="s">
        <v>885</v>
      </c>
      <c r="B6" s="18" t="s">
        <v>886</v>
      </c>
      <c r="C6" s="4" t="s">
        <v>887</v>
      </c>
    </row>
    <row r="7" customFormat="false" ht="23.85" hidden="false" customHeight="false" outlineLevel="0" collapsed="false">
      <c r="A7" s="4" t="s">
        <v>888</v>
      </c>
      <c r="B7" s="18" t="s">
        <v>889</v>
      </c>
      <c r="C7" s="4" t="s">
        <v>890</v>
      </c>
    </row>
    <row r="8" customFormat="false" ht="23.85" hidden="false" customHeight="false" outlineLevel="0" collapsed="false">
      <c r="A8" s="4" t="s">
        <v>891</v>
      </c>
      <c r="B8" s="18" t="s">
        <v>889</v>
      </c>
      <c r="C8" s="4" t="s">
        <v>892</v>
      </c>
    </row>
  </sheetData>
  <autoFilter ref="A4:C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7A"/>
    <pageSetUpPr fitToPage="false"/>
  </sheetPr>
  <dimension ref="A1:G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50"/>
    <col collapsed="false" customWidth="true" hidden="false" outlineLevel="0" max="3" min="3" style="0" width="34"/>
    <col collapsed="false" customWidth="true" hidden="false" outlineLevel="0" max="4" min="4" style="0" width="9"/>
    <col collapsed="false" customWidth="true" hidden="false" outlineLevel="0" max="5" min="5" style="0" width="14"/>
    <col collapsed="false" customWidth="true" hidden="false" outlineLevel="0" max="6" min="6" style="0" width="36"/>
    <col collapsed="false" customWidth="true" hidden="false" outlineLevel="0" max="7" min="7" style="0" width="24"/>
  </cols>
  <sheetData>
    <row r="1" customFormat="false" ht="17.35" hidden="false" customHeight="false" outlineLevel="0" collapsed="false">
      <c r="A1" s="1" t="s">
        <v>18</v>
      </c>
    </row>
    <row r="2" customFormat="false" ht="15" hidden="false" customHeight="false" outlineLevel="0" collapsed="false">
      <c r="A2" s="2" t="s">
        <v>893</v>
      </c>
    </row>
    <row r="4" customFormat="false" ht="30" hidden="false" customHeight="true" outlineLevel="0" collapsed="false">
      <c r="A4" s="3" t="s">
        <v>399</v>
      </c>
      <c r="B4" s="3" t="s">
        <v>894</v>
      </c>
      <c r="C4" s="3" t="s">
        <v>895</v>
      </c>
      <c r="D4" s="3" t="s">
        <v>896</v>
      </c>
      <c r="E4" s="3" t="s">
        <v>897</v>
      </c>
      <c r="F4" s="3" t="s">
        <v>898</v>
      </c>
      <c r="G4" s="3" t="s">
        <v>899</v>
      </c>
    </row>
    <row r="5" customFormat="false" ht="15" hidden="false" customHeight="false" outlineLevel="0" collapsed="false">
      <c r="A5" s="4" t="s">
        <v>900</v>
      </c>
      <c r="B5" s="4" t="s">
        <v>901</v>
      </c>
      <c r="C5" s="4" t="s">
        <v>902</v>
      </c>
      <c r="D5" s="4" t="s">
        <v>428</v>
      </c>
      <c r="E5" s="4" t="s">
        <v>903</v>
      </c>
      <c r="F5" s="4" t="s">
        <v>904</v>
      </c>
      <c r="G5" s="4" t="s">
        <v>905</v>
      </c>
    </row>
    <row r="6" customFormat="false" ht="15" hidden="false" customHeight="false" outlineLevel="0" collapsed="false">
      <c r="A6" s="4" t="s">
        <v>900</v>
      </c>
      <c r="B6" s="4" t="s">
        <v>906</v>
      </c>
      <c r="C6" s="4" t="s">
        <v>907</v>
      </c>
      <c r="D6" s="4" t="s">
        <v>428</v>
      </c>
      <c r="E6" s="4" t="s">
        <v>908</v>
      </c>
      <c r="F6" s="4" t="s">
        <v>909</v>
      </c>
      <c r="G6" s="4" t="s">
        <v>910</v>
      </c>
    </row>
    <row r="7" customFormat="false" ht="23.85" hidden="false" customHeight="false" outlineLevel="0" collapsed="false">
      <c r="A7" s="4" t="s">
        <v>900</v>
      </c>
      <c r="B7" s="4" t="s">
        <v>911</v>
      </c>
      <c r="C7" s="4" t="s">
        <v>902</v>
      </c>
      <c r="D7" s="4" t="s">
        <v>428</v>
      </c>
      <c r="E7" s="4" t="s">
        <v>414</v>
      </c>
      <c r="F7" s="4" t="s">
        <v>912</v>
      </c>
      <c r="G7" s="4" t="s">
        <v>913</v>
      </c>
    </row>
    <row r="8" customFormat="false" ht="23.85" hidden="false" customHeight="false" outlineLevel="0" collapsed="false">
      <c r="A8" s="4" t="s">
        <v>900</v>
      </c>
      <c r="B8" s="4" t="s">
        <v>914</v>
      </c>
      <c r="C8" s="4" t="s">
        <v>915</v>
      </c>
      <c r="D8" s="4" t="s">
        <v>428</v>
      </c>
      <c r="E8" s="4" t="s">
        <v>414</v>
      </c>
      <c r="F8" s="4" t="s">
        <v>916</v>
      </c>
      <c r="G8" s="4" t="s">
        <v>913</v>
      </c>
    </row>
    <row r="9" customFormat="false" ht="15" hidden="false" customHeight="false" outlineLevel="0" collapsed="false">
      <c r="A9" s="4" t="s">
        <v>900</v>
      </c>
      <c r="B9" s="4" t="s">
        <v>917</v>
      </c>
      <c r="C9" s="4" t="s">
        <v>902</v>
      </c>
      <c r="D9" s="4" t="s">
        <v>414</v>
      </c>
      <c r="E9" s="4" t="s">
        <v>414</v>
      </c>
      <c r="F9" s="4" t="s">
        <v>918</v>
      </c>
      <c r="G9" s="4" t="s">
        <v>913</v>
      </c>
    </row>
    <row r="10" customFormat="false" ht="23.85" hidden="false" customHeight="false" outlineLevel="0" collapsed="false">
      <c r="A10" s="4" t="s">
        <v>919</v>
      </c>
      <c r="B10" s="4" t="s">
        <v>920</v>
      </c>
      <c r="C10" s="4" t="s">
        <v>907</v>
      </c>
      <c r="D10" s="4" t="s">
        <v>428</v>
      </c>
      <c r="E10" s="4" t="s">
        <v>903</v>
      </c>
      <c r="F10" s="4" t="s">
        <v>921</v>
      </c>
      <c r="G10" s="4" t="s">
        <v>913</v>
      </c>
    </row>
    <row r="11" customFormat="false" ht="15" hidden="false" customHeight="false" outlineLevel="0" collapsed="false">
      <c r="A11" s="4" t="s">
        <v>919</v>
      </c>
      <c r="B11" s="4" t="s">
        <v>922</v>
      </c>
      <c r="C11" s="4" t="s">
        <v>907</v>
      </c>
      <c r="D11" s="4" t="s">
        <v>428</v>
      </c>
      <c r="E11" s="4" t="s">
        <v>908</v>
      </c>
      <c r="F11" s="4" t="s">
        <v>923</v>
      </c>
      <c r="G11" s="4" t="s">
        <v>913</v>
      </c>
    </row>
    <row r="12" customFormat="false" ht="15" hidden="false" customHeight="false" outlineLevel="0" collapsed="false">
      <c r="A12" s="4" t="s">
        <v>919</v>
      </c>
      <c r="B12" s="4" t="s">
        <v>924</v>
      </c>
      <c r="C12" s="4" t="s">
        <v>907</v>
      </c>
      <c r="D12" s="4" t="s">
        <v>428</v>
      </c>
      <c r="E12" s="4" t="s">
        <v>908</v>
      </c>
      <c r="F12" s="4" t="s">
        <v>925</v>
      </c>
      <c r="G12" s="4" t="s">
        <v>913</v>
      </c>
    </row>
    <row r="13" customFormat="false" ht="23.85" hidden="false" customHeight="false" outlineLevel="0" collapsed="false">
      <c r="A13" s="4" t="s">
        <v>919</v>
      </c>
      <c r="B13" s="4" t="s">
        <v>926</v>
      </c>
      <c r="C13" s="4" t="s">
        <v>927</v>
      </c>
      <c r="D13" s="4" t="s">
        <v>414</v>
      </c>
      <c r="E13" s="4" t="s">
        <v>908</v>
      </c>
      <c r="F13" s="4" t="s">
        <v>928</v>
      </c>
      <c r="G13" s="4" t="s">
        <v>929</v>
      </c>
    </row>
    <row r="14" customFormat="false" ht="15" hidden="false" customHeight="false" outlineLevel="0" collapsed="false">
      <c r="A14" s="4" t="s">
        <v>930</v>
      </c>
      <c r="B14" s="4" t="s">
        <v>931</v>
      </c>
      <c r="C14" s="4" t="s">
        <v>907</v>
      </c>
      <c r="D14" s="4" t="s">
        <v>428</v>
      </c>
      <c r="E14" s="4" t="s">
        <v>414</v>
      </c>
      <c r="F14" s="4" t="s">
        <v>932</v>
      </c>
      <c r="G14" s="4" t="s">
        <v>913</v>
      </c>
    </row>
    <row r="15" customFormat="false" ht="15" hidden="false" customHeight="false" outlineLevel="0" collapsed="false">
      <c r="A15" s="4" t="s">
        <v>930</v>
      </c>
      <c r="B15" s="4" t="s">
        <v>933</v>
      </c>
      <c r="C15" s="4" t="s">
        <v>907</v>
      </c>
      <c r="D15" s="4" t="s">
        <v>428</v>
      </c>
      <c r="E15" s="4" t="s">
        <v>414</v>
      </c>
      <c r="F15" s="4" t="s">
        <v>934</v>
      </c>
      <c r="G15" s="4" t="s">
        <v>913</v>
      </c>
    </row>
    <row r="16" customFormat="false" ht="35.05" hidden="false" customHeight="false" outlineLevel="0" collapsed="false">
      <c r="A16" s="4" t="s">
        <v>935</v>
      </c>
      <c r="B16" s="4" t="s">
        <v>936</v>
      </c>
      <c r="C16" s="4" t="s">
        <v>937</v>
      </c>
      <c r="D16" s="4" t="s">
        <v>428</v>
      </c>
      <c r="E16" s="4" t="s">
        <v>908</v>
      </c>
      <c r="F16" s="4" t="s">
        <v>938</v>
      </c>
      <c r="G16" s="4" t="s">
        <v>913</v>
      </c>
    </row>
    <row r="17" customFormat="false" ht="15" hidden="false" customHeight="false" outlineLevel="0" collapsed="false">
      <c r="A17" s="4" t="s">
        <v>935</v>
      </c>
      <c r="B17" s="4" t="s">
        <v>939</v>
      </c>
      <c r="C17" s="4" t="s">
        <v>907</v>
      </c>
      <c r="D17" s="4" t="s">
        <v>414</v>
      </c>
      <c r="E17" s="4" t="s">
        <v>414</v>
      </c>
      <c r="F17" s="4" t="s">
        <v>940</v>
      </c>
      <c r="G17" s="4" t="s">
        <v>913</v>
      </c>
    </row>
    <row r="18" customFormat="false" ht="15" hidden="false" customHeight="false" outlineLevel="0" collapsed="false">
      <c r="A18" s="4" t="s">
        <v>935</v>
      </c>
      <c r="B18" s="4" t="s">
        <v>941</v>
      </c>
      <c r="C18" s="4" t="s">
        <v>902</v>
      </c>
      <c r="D18" s="4" t="s">
        <v>428</v>
      </c>
      <c r="E18" s="4" t="s">
        <v>908</v>
      </c>
      <c r="F18" s="4" t="s">
        <v>942</v>
      </c>
      <c r="G18" s="4" t="s">
        <v>913</v>
      </c>
    </row>
    <row r="19" customFormat="false" ht="15" hidden="false" customHeight="false" outlineLevel="0" collapsed="false">
      <c r="A19" s="4" t="s">
        <v>935</v>
      </c>
      <c r="B19" s="4" t="s">
        <v>943</v>
      </c>
      <c r="C19" s="4" t="s">
        <v>902</v>
      </c>
      <c r="D19" s="4" t="s">
        <v>414</v>
      </c>
      <c r="E19" s="4" t="s">
        <v>414</v>
      </c>
      <c r="F19" s="4" t="s">
        <v>944</v>
      </c>
      <c r="G19" s="4" t="s">
        <v>913</v>
      </c>
    </row>
    <row r="20" customFormat="false" ht="23.85" hidden="false" customHeight="false" outlineLevel="0" collapsed="false">
      <c r="A20" s="4" t="s">
        <v>945</v>
      </c>
      <c r="B20" s="4" t="s">
        <v>946</v>
      </c>
      <c r="C20" s="4" t="s">
        <v>902</v>
      </c>
      <c r="D20" s="4" t="s">
        <v>428</v>
      </c>
      <c r="E20" s="4" t="s">
        <v>414</v>
      </c>
      <c r="F20" s="4" t="s">
        <v>947</v>
      </c>
      <c r="G20" s="4" t="s">
        <v>913</v>
      </c>
    </row>
    <row r="21" customFormat="false" ht="15" hidden="false" customHeight="false" outlineLevel="0" collapsed="false">
      <c r="A21" s="4" t="s">
        <v>948</v>
      </c>
      <c r="B21" s="4" t="s">
        <v>949</v>
      </c>
      <c r="C21" s="4" t="s">
        <v>950</v>
      </c>
      <c r="D21" s="4" t="s">
        <v>428</v>
      </c>
      <c r="E21" s="4" t="s">
        <v>903</v>
      </c>
      <c r="F21" s="4" t="s">
        <v>951</v>
      </c>
      <c r="G21" s="4" t="s">
        <v>913</v>
      </c>
    </row>
    <row r="22" customFormat="false" ht="15" hidden="false" customHeight="false" outlineLevel="0" collapsed="false">
      <c r="A22" s="4" t="s">
        <v>948</v>
      </c>
      <c r="B22" s="4" t="s">
        <v>952</v>
      </c>
      <c r="C22" s="4" t="s">
        <v>953</v>
      </c>
      <c r="D22" s="4" t="s">
        <v>428</v>
      </c>
      <c r="E22" s="4" t="s">
        <v>908</v>
      </c>
      <c r="F22" s="4" t="s">
        <v>954</v>
      </c>
      <c r="G22" s="4" t="s">
        <v>913</v>
      </c>
    </row>
    <row r="23" customFormat="false" ht="15" hidden="false" customHeight="false" outlineLevel="0" collapsed="false">
      <c r="A23" s="4" t="s">
        <v>948</v>
      </c>
      <c r="B23" s="4" t="s">
        <v>955</v>
      </c>
      <c r="C23" s="4" t="s">
        <v>902</v>
      </c>
      <c r="D23" s="4" t="s">
        <v>428</v>
      </c>
      <c r="E23" s="4" t="s">
        <v>414</v>
      </c>
      <c r="F23" s="4" t="s">
        <v>956</v>
      </c>
      <c r="G23" s="4" t="s">
        <v>913</v>
      </c>
    </row>
    <row r="24" customFormat="false" ht="23.85" hidden="false" customHeight="false" outlineLevel="0" collapsed="false">
      <c r="A24" s="4" t="s">
        <v>116</v>
      </c>
      <c r="B24" s="4" t="s">
        <v>957</v>
      </c>
      <c r="C24" s="4" t="s">
        <v>958</v>
      </c>
      <c r="D24" s="4" t="s">
        <v>428</v>
      </c>
      <c r="E24" s="4" t="s">
        <v>908</v>
      </c>
      <c r="F24" s="4" t="s">
        <v>959</v>
      </c>
      <c r="G24" s="4" t="s">
        <v>913</v>
      </c>
    </row>
    <row r="25" customFormat="false" ht="15" hidden="false" customHeight="false" outlineLevel="0" collapsed="false">
      <c r="A25" s="4" t="s">
        <v>116</v>
      </c>
      <c r="B25" s="4" t="s">
        <v>960</v>
      </c>
      <c r="C25" s="4" t="s">
        <v>961</v>
      </c>
      <c r="D25" s="4" t="s">
        <v>428</v>
      </c>
      <c r="E25" s="4" t="s">
        <v>414</v>
      </c>
      <c r="F25" s="4" t="s">
        <v>962</v>
      </c>
      <c r="G25" s="4" t="s">
        <v>913</v>
      </c>
    </row>
    <row r="26" customFormat="false" ht="15" hidden="false" customHeight="false" outlineLevel="0" collapsed="false">
      <c r="A26" s="4" t="s">
        <v>118</v>
      </c>
      <c r="B26" s="4" t="s">
        <v>963</v>
      </c>
      <c r="C26" s="4" t="s">
        <v>907</v>
      </c>
      <c r="D26" s="4" t="s">
        <v>414</v>
      </c>
      <c r="E26" s="4" t="s">
        <v>414</v>
      </c>
      <c r="F26" s="4" t="s">
        <v>964</v>
      </c>
      <c r="G26" s="4" t="s">
        <v>913</v>
      </c>
    </row>
    <row r="27" customFormat="false" ht="15" hidden="false" customHeight="false" outlineLevel="0" collapsed="false">
      <c r="A27" s="4" t="s">
        <v>948</v>
      </c>
      <c r="B27" s="4" t="s">
        <v>965</v>
      </c>
      <c r="C27" s="4" t="s">
        <v>907</v>
      </c>
      <c r="D27" s="4" t="s">
        <v>428</v>
      </c>
      <c r="E27" s="4" t="s">
        <v>908</v>
      </c>
      <c r="F27" s="4" t="s">
        <v>966</v>
      </c>
      <c r="G27" s="4" t="s">
        <v>913</v>
      </c>
    </row>
    <row r="28" customFormat="false" ht="23.85" hidden="false" customHeight="false" outlineLevel="0" collapsed="false">
      <c r="A28" s="4" t="s">
        <v>967</v>
      </c>
      <c r="B28" s="4" t="s">
        <v>968</v>
      </c>
      <c r="C28" s="4" t="s">
        <v>969</v>
      </c>
      <c r="D28" s="4" t="s">
        <v>428</v>
      </c>
      <c r="E28" s="4" t="s">
        <v>414</v>
      </c>
      <c r="F28" s="4" t="s">
        <v>970</v>
      </c>
      <c r="G28" s="4" t="s">
        <v>913</v>
      </c>
    </row>
    <row r="29" customFormat="false" ht="15" hidden="false" customHeight="false" outlineLevel="0" collapsed="false">
      <c r="A29" s="4" t="s">
        <v>967</v>
      </c>
      <c r="B29" s="4" t="s">
        <v>971</v>
      </c>
      <c r="C29" s="4" t="s">
        <v>902</v>
      </c>
      <c r="D29" s="4" t="s">
        <v>414</v>
      </c>
      <c r="E29" s="4" t="s">
        <v>414</v>
      </c>
      <c r="F29" s="4" t="s">
        <v>972</v>
      </c>
      <c r="G29" s="4" t="s">
        <v>913</v>
      </c>
    </row>
    <row r="30" customFormat="false" ht="15" hidden="false" customHeight="false" outlineLevel="0" collapsed="false">
      <c r="A30" s="4" t="s">
        <v>973</v>
      </c>
      <c r="B30" s="4" t="s">
        <v>974</v>
      </c>
      <c r="C30" s="4" t="s">
        <v>975</v>
      </c>
      <c r="D30" s="4" t="s">
        <v>428</v>
      </c>
      <c r="E30" s="4" t="s">
        <v>414</v>
      </c>
      <c r="F30" s="4" t="s">
        <v>976</v>
      </c>
      <c r="G30" s="4" t="s">
        <v>497</v>
      </c>
    </row>
    <row r="31" customFormat="false" ht="23.85" hidden="false" customHeight="false" outlineLevel="0" collapsed="false">
      <c r="A31" s="4" t="s">
        <v>977</v>
      </c>
      <c r="B31" s="4" t="s">
        <v>978</v>
      </c>
      <c r="C31" s="4" t="s">
        <v>979</v>
      </c>
      <c r="D31" s="4" t="s">
        <v>428</v>
      </c>
      <c r="E31" s="4" t="s">
        <v>908</v>
      </c>
      <c r="F31" s="4" t="s">
        <v>980</v>
      </c>
      <c r="G31" s="4" t="s">
        <v>486</v>
      </c>
    </row>
    <row r="32" customFormat="false" ht="23.85" hidden="false" customHeight="false" outlineLevel="0" collapsed="false">
      <c r="A32" s="4" t="s">
        <v>569</v>
      </c>
      <c r="B32" s="4" t="s">
        <v>981</v>
      </c>
      <c r="C32" s="4" t="s">
        <v>961</v>
      </c>
      <c r="D32" s="4" t="s">
        <v>982</v>
      </c>
      <c r="E32" s="4" t="s">
        <v>908</v>
      </c>
      <c r="F32" s="4" t="s">
        <v>983</v>
      </c>
      <c r="G32" s="4" t="s">
        <v>984</v>
      </c>
    </row>
    <row r="33" customFormat="false" ht="23.85" hidden="false" customHeight="false" outlineLevel="0" collapsed="false">
      <c r="A33" s="4" t="s">
        <v>569</v>
      </c>
      <c r="B33" s="4" t="s">
        <v>985</v>
      </c>
      <c r="C33" s="4" t="s">
        <v>907</v>
      </c>
      <c r="D33" s="4" t="s">
        <v>982</v>
      </c>
      <c r="E33" s="4" t="s">
        <v>414</v>
      </c>
      <c r="F33" s="4" t="s">
        <v>986</v>
      </c>
      <c r="G33" s="4" t="s">
        <v>984</v>
      </c>
    </row>
    <row r="34" customFormat="false" ht="23.85" hidden="false" customHeight="false" outlineLevel="0" collapsed="false">
      <c r="A34" s="4" t="s">
        <v>569</v>
      </c>
      <c r="B34" s="4" t="s">
        <v>987</v>
      </c>
      <c r="C34" s="4" t="s">
        <v>902</v>
      </c>
      <c r="D34" s="4" t="s">
        <v>982</v>
      </c>
      <c r="E34" s="4" t="s">
        <v>414</v>
      </c>
      <c r="F34" s="4" t="s">
        <v>988</v>
      </c>
      <c r="G34" s="4" t="s">
        <v>984</v>
      </c>
    </row>
    <row r="35" customFormat="false" ht="23.85" hidden="false" customHeight="false" outlineLevel="0" collapsed="false">
      <c r="A35" s="4" t="s">
        <v>588</v>
      </c>
      <c r="B35" s="4" t="s">
        <v>989</v>
      </c>
      <c r="C35" s="4" t="s">
        <v>907</v>
      </c>
      <c r="D35" s="4" t="s">
        <v>990</v>
      </c>
      <c r="E35" s="4" t="s">
        <v>908</v>
      </c>
      <c r="F35" s="4" t="s">
        <v>991</v>
      </c>
      <c r="G35" s="4" t="s">
        <v>984</v>
      </c>
    </row>
    <row r="36" customFormat="false" ht="23.85" hidden="false" customHeight="false" outlineLevel="0" collapsed="false">
      <c r="A36" s="4" t="s">
        <v>588</v>
      </c>
      <c r="B36" s="4" t="s">
        <v>992</v>
      </c>
      <c r="C36" s="4" t="s">
        <v>902</v>
      </c>
      <c r="D36" s="4" t="s">
        <v>990</v>
      </c>
      <c r="E36" s="4" t="s">
        <v>414</v>
      </c>
      <c r="F36" s="4" t="s">
        <v>993</v>
      </c>
      <c r="G36" s="4" t="s">
        <v>984</v>
      </c>
    </row>
    <row r="37" customFormat="false" ht="23.85" hidden="false" customHeight="false" outlineLevel="0" collapsed="false">
      <c r="A37" s="4" t="s">
        <v>588</v>
      </c>
      <c r="B37" s="4" t="s">
        <v>994</v>
      </c>
      <c r="C37" s="4" t="s">
        <v>902</v>
      </c>
      <c r="D37" s="4" t="s">
        <v>990</v>
      </c>
      <c r="E37" s="4" t="s">
        <v>414</v>
      </c>
      <c r="F37" s="4" t="s">
        <v>995</v>
      </c>
      <c r="G37" s="4" t="s">
        <v>984</v>
      </c>
    </row>
  </sheetData>
  <autoFilter ref="A4:G3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7A"/>
    <pageSetUpPr fitToPage="false"/>
  </sheetPr>
  <dimension ref="A1:F8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6"/>
    <col collapsed="false" customWidth="true" hidden="false" outlineLevel="0" max="3" min="3" style="0" width="60"/>
    <col collapsed="false" customWidth="true" hidden="false" outlineLevel="0" max="4" min="4" style="0" width="10"/>
    <col collapsed="false" customWidth="true" hidden="false" outlineLevel="0" max="5" min="5" style="0" width="8"/>
    <col collapsed="false" customWidth="true" hidden="false" outlineLevel="0" max="6" min="6" style="0" width="22"/>
  </cols>
  <sheetData>
    <row r="1" customFormat="false" ht="17.35" hidden="false" customHeight="false" outlineLevel="0" collapsed="false">
      <c r="A1" s="1" t="s">
        <v>20</v>
      </c>
    </row>
    <row r="2" customFormat="false" ht="15" hidden="false" customHeight="false" outlineLevel="0" collapsed="false">
      <c r="A2" s="2" t="s">
        <v>996</v>
      </c>
    </row>
    <row r="4" customFormat="false" ht="30" hidden="false" customHeight="true" outlineLevel="0" collapsed="false">
      <c r="A4" s="3" t="s">
        <v>114</v>
      </c>
      <c r="B4" s="3" t="s">
        <v>997</v>
      </c>
      <c r="C4" s="3" t="s">
        <v>998</v>
      </c>
      <c r="D4" s="3" t="s">
        <v>999</v>
      </c>
      <c r="E4" s="3" t="s">
        <v>1000</v>
      </c>
      <c r="F4" s="3" t="s">
        <v>402</v>
      </c>
    </row>
    <row r="5" customFormat="false" ht="15" hidden="false" customHeight="false" outlineLevel="0" collapsed="false">
      <c r="A5" s="4" t="s">
        <v>1001</v>
      </c>
      <c r="B5" s="4" t="s">
        <v>1002</v>
      </c>
      <c r="C5" s="4" t="s">
        <v>1003</v>
      </c>
      <c r="D5" s="4" t="s">
        <v>1004</v>
      </c>
      <c r="E5" s="4" t="s">
        <v>525</v>
      </c>
      <c r="F5" s="4" t="s">
        <v>34</v>
      </c>
    </row>
    <row r="6" customFormat="false" ht="15" hidden="false" customHeight="false" outlineLevel="0" collapsed="false">
      <c r="A6" s="4" t="s">
        <v>1001</v>
      </c>
      <c r="B6" s="4" t="s">
        <v>1005</v>
      </c>
      <c r="C6" s="4" t="s">
        <v>1006</v>
      </c>
      <c r="D6" s="4" t="s">
        <v>1004</v>
      </c>
      <c r="E6" s="4" t="s">
        <v>525</v>
      </c>
      <c r="F6" s="4" t="s">
        <v>34</v>
      </c>
    </row>
    <row r="7" customFormat="false" ht="15" hidden="false" customHeight="false" outlineLevel="0" collapsed="false">
      <c r="A7" s="4" t="s">
        <v>1001</v>
      </c>
      <c r="B7" s="4" t="s">
        <v>1007</v>
      </c>
      <c r="C7" s="4" t="s">
        <v>1008</v>
      </c>
      <c r="D7" s="4" t="s">
        <v>1009</v>
      </c>
      <c r="E7" s="4" t="s">
        <v>525</v>
      </c>
      <c r="F7" s="4" t="s">
        <v>34</v>
      </c>
    </row>
    <row r="8" customFormat="false" ht="15" hidden="false" customHeight="false" outlineLevel="0" collapsed="false">
      <c r="A8" s="4" t="s">
        <v>1001</v>
      </c>
      <c r="B8" s="4" t="s">
        <v>1010</v>
      </c>
      <c r="C8" s="4" t="s">
        <v>1011</v>
      </c>
      <c r="D8" s="4" t="s">
        <v>1009</v>
      </c>
      <c r="E8" s="4" t="s">
        <v>525</v>
      </c>
      <c r="F8" s="4" t="s">
        <v>34</v>
      </c>
    </row>
    <row r="9" customFormat="false" ht="15" hidden="false" customHeight="false" outlineLevel="0" collapsed="false">
      <c r="A9" s="4" t="s">
        <v>1001</v>
      </c>
      <c r="B9" s="4" t="s">
        <v>1012</v>
      </c>
      <c r="C9" s="4" t="s">
        <v>1013</v>
      </c>
      <c r="D9" s="4" t="s">
        <v>1009</v>
      </c>
      <c r="E9" s="4" t="s">
        <v>525</v>
      </c>
      <c r="F9" s="4" t="s">
        <v>34</v>
      </c>
    </row>
    <row r="10" customFormat="false" ht="15" hidden="false" customHeight="false" outlineLevel="0" collapsed="false">
      <c r="A10" s="4" t="s">
        <v>1014</v>
      </c>
      <c r="B10" s="4" t="s">
        <v>1015</v>
      </c>
      <c r="C10" s="4" t="s">
        <v>1016</v>
      </c>
      <c r="D10" s="4" t="s">
        <v>1004</v>
      </c>
      <c r="E10" s="4" t="s">
        <v>550</v>
      </c>
      <c r="F10" s="4" t="s">
        <v>34</v>
      </c>
    </row>
    <row r="11" customFormat="false" ht="15" hidden="false" customHeight="false" outlineLevel="0" collapsed="false">
      <c r="A11" s="4" t="s">
        <v>1014</v>
      </c>
      <c r="B11" s="4" t="s">
        <v>1017</v>
      </c>
      <c r="C11" s="4" t="s">
        <v>1018</v>
      </c>
      <c r="D11" s="4" t="s">
        <v>1004</v>
      </c>
      <c r="E11" s="4" t="s">
        <v>550</v>
      </c>
      <c r="F11" s="4" t="s">
        <v>34</v>
      </c>
    </row>
    <row r="12" customFormat="false" ht="15" hidden="false" customHeight="false" outlineLevel="0" collapsed="false">
      <c r="A12" s="4" t="s">
        <v>1014</v>
      </c>
      <c r="B12" s="4" t="s">
        <v>1019</v>
      </c>
      <c r="C12" s="4" t="s">
        <v>1020</v>
      </c>
      <c r="D12" s="4" t="s">
        <v>1004</v>
      </c>
      <c r="E12" s="4" t="s">
        <v>550</v>
      </c>
      <c r="F12" s="4" t="s">
        <v>34</v>
      </c>
    </row>
    <row r="13" customFormat="false" ht="15" hidden="false" customHeight="false" outlineLevel="0" collapsed="false">
      <c r="A13" s="4" t="s">
        <v>1021</v>
      </c>
      <c r="B13" s="4" t="s">
        <v>1022</v>
      </c>
      <c r="C13" s="4" t="s">
        <v>1023</v>
      </c>
      <c r="D13" s="4" t="s">
        <v>1004</v>
      </c>
      <c r="E13" s="4" t="s">
        <v>554</v>
      </c>
      <c r="F13" s="4" t="s">
        <v>34</v>
      </c>
    </row>
    <row r="14" customFormat="false" ht="23.85" hidden="false" customHeight="false" outlineLevel="0" collapsed="false">
      <c r="A14" s="4" t="s">
        <v>1021</v>
      </c>
      <c r="B14" s="4" t="s">
        <v>1024</v>
      </c>
      <c r="C14" s="4" t="s">
        <v>1025</v>
      </c>
      <c r="D14" s="4" t="s">
        <v>1004</v>
      </c>
      <c r="E14" s="4" t="s">
        <v>554</v>
      </c>
      <c r="F14" s="4" t="s">
        <v>1026</v>
      </c>
    </row>
    <row r="15" customFormat="false" ht="15" hidden="false" customHeight="false" outlineLevel="0" collapsed="false">
      <c r="A15" s="4" t="s">
        <v>1027</v>
      </c>
      <c r="B15" s="4" t="s">
        <v>1028</v>
      </c>
      <c r="C15" s="4" t="s">
        <v>1029</v>
      </c>
      <c r="D15" s="4" t="s">
        <v>1004</v>
      </c>
      <c r="E15" s="4" t="s">
        <v>557</v>
      </c>
      <c r="F15" s="4" t="s">
        <v>34</v>
      </c>
    </row>
    <row r="16" customFormat="false" ht="15" hidden="false" customHeight="false" outlineLevel="0" collapsed="false">
      <c r="A16" s="4" t="s">
        <v>1027</v>
      </c>
      <c r="B16" s="4" t="s">
        <v>1030</v>
      </c>
      <c r="C16" s="4" t="s">
        <v>1031</v>
      </c>
      <c r="D16" s="4" t="s">
        <v>1004</v>
      </c>
      <c r="E16" s="4" t="s">
        <v>557</v>
      </c>
      <c r="F16" s="4" t="s">
        <v>34</v>
      </c>
    </row>
    <row r="17" customFormat="false" ht="15" hidden="false" customHeight="false" outlineLevel="0" collapsed="false">
      <c r="A17" s="4" t="s">
        <v>1027</v>
      </c>
      <c r="B17" s="4" t="s">
        <v>1032</v>
      </c>
      <c r="C17" s="4" t="s">
        <v>1033</v>
      </c>
      <c r="D17" s="4" t="s">
        <v>1004</v>
      </c>
      <c r="E17" s="4" t="s">
        <v>557</v>
      </c>
      <c r="F17" s="4" t="s">
        <v>34</v>
      </c>
    </row>
    <row r="18" customFormat="false" ht="23.85" hidden="false" customHeight="false" outlineLevel="0" collapsed="false">
      <c r="A18" s="4" t="s">
        <v>1034</v>
      </c>
      <c r="B18" s="4" t="s">
        <v>1035</v>
      </c>
      <c r="C18" s="4" t="s">
        <v>1036</v>
      </c>
      <c r="D18" s="4" t="s">
        <v>1004</v>
      </c>
      <c r="E18" s="4" t="s">
        <v>530</v>
      </c>
      <c r="F18" s="4" t="s">
        <v>34</v>
      </c>
    </row>
    <row r="19" customFormat="false" ht="15" hidden="false" customHeight="false" outlineLevel="0" collapsed="false">
      <c r="A19" s="4" t="s">
        <v>1034</v>
      </c>
      <c r="B19" s="4" t="s">
        <v>1037</v>
      </c>
      <c r="C19" s="4" t="s">
        <v>1038</v>
      </c>
      <c r="D19" s="4" t="s">
        <v>1004</v>
      </c>
      <c r="E19" s="4" t="s">
        <v>530</v>
      </c>
      <c r="F19" s="4" t="s">
        <v>34</v>
      </c>
    </row>
    <row r="20" customFormat="false" ht="15" hidden="false" customHeight="false" outlineLevel="0" collapsed="false">
      <c r="A20" s="4" t="s">
        <v>1034</v>
      </c>
      <c r="B20" s="4" t="s">
        <v>1039</v>
      </c>
      <c r="C20" s="4" t="s">
        <v>1040</v>
      </c>
      <c r="D20" s="4" t="s">
        <v>1004</v>
      </c>
      <c r="E20" s="4" t="s">
        <v>530</v>
      </c>
      <c r="F20" s="4" t="s">
        <v>34</v>
      </c>
    </row>
    <row r="21" customFormat="false" ht="15" hidden="false" customHeight="false" outlineLevel="0" collapsed="false">
      <c r="A21" s="4" t="s">
        <v>1034</v>
      </c>
      <c r="B21" s="4" t="s">
        <v>1041</v>
      </c>
      <c r="C21" s="4" t="s">
        <v>1042</v>
      </c>
      <c r="D21" s="4" t="s">
        <v>1009</v>
      </c>
      <c r="E21" s="4" t="s">
        <v>530</v>
      </c>
      <c r="F21" s="4" t="s">
        <v>34</v>
      </c>
    </row>
    <row r="22" customFormat="false" ht="15" hidden="false" customHeight="false" outlineLevel="0" collapsed="false">
      <c r="A22" s="4" t="s">
        <v>116</v>
      </c>
      <c r="B22" s="4" t="s">
        <v>1043</v>
      </c>
      <c r="C22" s="4" t="s">
        <v>1044</v>
      </c>
      <c r="D22" s="4" t="s">
        <v>1004</v>
      </c>
      <c r="E22" s="4" t="s">
        <v>560</v>
      </c>
      <c r="F22" s="4" t="s">
        <v>34</v>
      </c>
    </row>
    <row r="23" customFormat="false" ht="15" hidden="false" customHeight="false" outlineLevel="0" collapsed="false">
      <c r="A23" s="4" t="s">
        <v>116</v>
      </c>
      <c r="B23" s="4" t="s">
        <v>1045</v>
      </c>
      <c r="C23" s="4" t="s">
        <v>1046</v>
      </c>
      <c r="D23" s="4" t="s">
        <v>1004</v>
      </c>
      <c r="E23" s="4" t="s">
        <v>560</v>
      </c>
      <c r="F23" s="4" t="s">
        <v>34</v>
      </c>
    </row>
    <row r="24" customFormat="false" ht="23.85" hidden="false" customHeight="false" outlineLevel="0" collapsed="false">
      <c r="A24" s="4" t="s">
        <v>1034</v>
      </c>
      <c r="B24" s="4" t="s">
        <v>1047</v>
      </c>
      <c r="C24" s="4" t="s">
        <v>1048</v>
      </c>
      <c r="D24" s="4" t="s">
        <v>1004</v>
      </c>
      <c r="E24" s="4" t="s">
        <v>533</v>
      </c>
      <c r="F24" s="4" t="s">
        <v>34</v>
      </c>
    </row>
    <row r="25" customFormat="false" ht="15" hidden="false" customHeight="false" outlineLevel="0" collapsed="false">
      <c r="A25" s="4" t="s">
        <v>1034</v>
      </c>
      <c r="B25" s="4" t="s">
        <v>1049</v>
      </c>
      <c r="C25" s="4" t="s">
        <v>1050</v>
      </c>
      <c r="D25" s="4" t="s">
        <v>1004</v>
      </c>
      <c r="E25" s="4" t="s">
        <v>533</v>
      </c>
      <c r="F25" s="4" t="s">
        <v>34</v>
      </c>
    </row>
    <row r="26" customFormat="false" ht="15" hidden="false" customHeight="false" outlineLevel="0" collapsed="false">
      <c r="A26" s="4" t="s">
        <v>118</v>
      </c>
      <c r="B26" s="4" t="s">
        <v>1051</v>
      </c>
      <c r="C26" s="4" t="s">
        <v>1052</v>
      </c>
      <c r="D26" s="4" t="s">
        <v>1004</v>
      </c>
      <c r="E26" s="4" t="s">
        <v>563</v>
      </c>
      <c r="F26" s="4" t="s">
        <v>34</v>
      </c>
    </row>
    <row r="27" customFormat="false" ht="15" hidden="false" customHeight="false" outlineLevel="0" collapsed="false">
      <c r="A27" s="4" t="s">
        <v>118</v>
      </c>
      <c r="B27" s="4" t="s">
        <v>1053</v>
      </c>
      <c r="C27" s="4" t="s">
        <v>1054</v>
      </c>
      <c r="D27" s="4" t="s">
        <v>1004</v>
      </c>
      <c r="E27" s="4" t="s">
        <v>563</v>
      </c>
      <c r="F27" s="4" t="s">
        <v>34</v>
      </c>
    </row>
    <row r="28" customFormat="false" ht="15" hidden="false" customHeight="false" outlineLevel="0" collapsed="false">
      <c r="A28" s="4" t="s">
        <v>118</v>
      </c>
      <c r="B28" s="4" t="s">
        <v>1055</v>
      </c>
      <c r="C28" s="4" t="s">
        <v>1056</v>
      </c>
      <c r="D28" s="4" t="s">
        <v>1004</v>
      </c>
      <c r="E28" s="4" t="s">
        <v>563</v>
      </c>
      <c r="F28" s="4" t="s">
        <v>34</v>
      </c>
    </row>
    <row r="29" customFormat="false" ht="15" hidden="false" customHeight="false" outlineLevel="0" collapsed="false">
      <c r="A29" s="4" t="s">
        <v>537</v>
      </c>
      <c r="B29" s="4" t="s">
        <v>1057</v>
      </c>
      <c r="C29" s="4" t="s">
        <v>1058</v>
      </c>
      <c r="D29" s="4" t="s">
        <v>1004</v>
      </c>
      <c r="E29" s="4" t="s">
        <v>536</v>
      </c>
      <c r="F29" s="4" t="s">
        <v>34</v>
      </c>
    </row>
    <row r="30" customFormat="false" ht="15" hidden="false" customHeight="false" outlineLevel="0" collapsed="false">
      <c r="A30" s="4" t="s">
        <v>537</v>
      </c>
      <c r="B30" s="4" t="s">
        <v>1059</v>
      </c>
      <c r="C30" s="4" t="s">
        <v>1060</v>
      </c>
      <c r="D30" s="4" t="s">
        <v>1004</v>
      </c>
      <c r="E30" s="4" t="s">
        <v>536</v>
      </c>
      <c r="F30" s="4" t="s">
        <v>34</v>
      </c>
    </row>
    <row r="31" customFormat="false" ht="15" hidden="false" customHeight="false" outlineLevel="0" collapsed="false">
      <c r="A31" s="4" t="s">
        <v>537</v>
      </c>
      <c r="B31" s="4" t="s">
        <v>1061</v>
      </c>
      <c r="C31" s="4" t="s">
        <v>1062</v>
      </c>
      <c r="D31" s="4" t="s">
        <v>1004</v>
      </c>
      <c r="E31" s="4" t="s">
        <v>536</v>
      </c>
      <c r="F31" s="4" t="s">
        <v>34</v>
      </c>
    </row>
    <row r="32" customFormat="false" ht="15" hidden="false" customHeight="false" outlineLevel="0" collapsed="false">
      <c r="A32" s="4" t="s">
        <v>537</v>
      </c>
      <c r="B32" s="4" t="s">
        <v>1063</v>
      </c>
      <c r="C32" s="4" t="s">
        <v>1064</v>
      </c>
      <c r="D32" s="4" t="s">
        <v>1004</v>
      </c>
      <c r="E32" s="4" t="s">
        <v>536</v>
      </c>
      <c r="F32" s="4" t="s">
        <v>34</v>
      </c>
    </row>
    <row r="33" customFormat="false" ht="15" hidden="false" customHeight="false" outlineLevel="0" collapsed="false">
      <c r="A33" s="4" t="s">
        <v>537</v>
      </c>
      <c r="B33" s="4" t="s">
        <v>1065</v>
      </c>
      <c r="C33" s="4" t="s">
        <v>1066</v>
      </c>
      <c r="D33" s="4" t="s">
        <v>1004</v>
      </c>
      <c r="E33" s="4" t="s">
        <v>536</v>
      </c>
      <c r="F33" s="4" t="s">
        <v>34</v>
      </c>
    </row>
    <row r="34" customFormat="false" ht="15" hidden="false" customHeight="false" outlineLevel="0" collapsed="false">
      <c r="A34" s="4" t="s">
        <v>1067</v>
      </c>
      <c r="B34" s="4" t="s">
        <v>540</v>
      </c>
      <c r="C34" s="4" t="s">
        <v>1068</v>
      </c>
      <c r="D34" s="4" t="s">
        <v>1004</v>
      </c>
      <c r="E34" s="4" t="s">
        <v>539</v>
      </c>
      <c r="F34" s="4" t="s">
        <v>34</v>
      </c>
    </row>
    <row r="35" customFormat="false" ht="15" hidden="false" customHeight="false" outlineLevel="0" collapsed="false">
      <c r="A35" s="4" t="s">
        <v>1069</v>
      </c>
      <c r="B35" s="4" t="s">
        <v>1070</v>
      </c>
      <c r="C35" s="4" t="s">
        <v>1071</v>
      </c>
      <c r="D35" s="4" t="s">
        <v>1004</v>
      </c>
      <c r="E35" s="4" t="s">
        <v>543</v>
      </c>
      <c r="F35" s="4" t="s">
        <v>34</v>
      </c>
    </row>
    <row r="36" customFormat="false" ht="15" hidden="false" customHeight="false" outlineLevel="0" collapsed="false">
      <c r="A36" s="4" t="s">
        <v>1072</v>
      </c>
      <c r="B36" s="4" t="s">
        <v>1073</v>
      </c>
      <c r="C36" s="4" t="s">
        <v>1074</v>
      </c>
      <c r="D36" s="4" t="s">
        <v>1004</v>
      </c>
      <c r="E36" s="4" t="s">
        <v>611</v>
      </c>
      <c r="F36" s="4" t="s">
        <v>34</v>
      </c>
    </row>
    <row r="37" customFormat="false" ht="15" hidden="false" customHeight="false" outlineLevel="0" collapsed="false">
      <c r="A37" s="4" t="s">
        <v>1075</v>
      </c>
      <c r="B37" s="4" t="s">
        <v>1076</v>
      </c>
      <c r="C37" s="4" t="s">
        <v>1077</v>
      </c>
      <c r="D37" s="4" t="s">
        <v>1004</v>
      </c>
      <c r="E37" s="4" t="s">
        <v>616</v>
      </c>
      <c r="F37" s="4" t="s">
        <v>34</v>
      </c>
    </row>
    <row r="38" customFormat="false" ht="15" hidden="false" customHeight="false" outlineLevel="0" collapsed="false">
      <c r="A38" s="4" t="s">
        <v>1078</v>
      </c>
      <c r="B38" s="4" t="s">
        <v>1079</v>
      </c>
      <c r="C38" s="4" t="s">
        <v>1080</v>
      </c>
      <c r="D38" s="4" t="s">
        <v>1004</v>
      </c>
      <c r="E38" s="4" t="s">
        <v>616</v>
      </c>
      <c r="F38" s="4" t="s">
        <v>34</v>
      </c>
    </row>
    <row r="39" customFormat="false" ht="15" hidden="false" customHeight="false" outlineLevel="0" collapsed="false">
      <c r="A39" s="4" t="s">
        <v>1078</v>
      </c>
      <c r="B39" s="4" t="s">
        <v>1081</v>
      </c>
      <c r="C39" s="4" t="s">
        <v>1082</v>
      </c>
      <c r="D39" s="4" t="s">
        <v>1004</v>
      </c>
      <c r="E39" s="4" t="s">
        <v>616</v>
      </c>
      <c r="F39" s="4" t="s">
        <v>34</v>
      </c>
    </row>
    <row r="40" customFormat="false" ht="15" hidden="false" customHeight="false" outlineLevel="0" collapsed="false">
      <c r="A40" s="4" t="s">
        <v>1078</v>
      </c>
      <c r="B40" s="4" t="s">
        <v>1083</v>
      </c>
      <c r="C40" s="4" t="s">
        <v>1084</v>
      </c>
      <c r="D40" s="4" t="s">
        <v>1004</v>
      </c>
      <c r="E40" s="4" t="s">
        <v>621</v>
      </c>
      <c r="F40" s="4" t="s">
        <v>34</v>
      </c>
    </row>
    <row r="41" customFormat="false" ht="15" hidden="false" customHeight="false" outlineLevel="0" collapsed="false">
      <c r="A41" s="4" t="s">
        <v>1027</v>
      </c>
      <c r="B41" s="4" t="s">
        <v>1085</v>
      </c>
      <c r="C41" s="4" t="s">
        <v>1086</v>
      </c>
      <c r="D41" s="4" t="s">
        <v>1004</v>
      </c>
      <c r="E41" s="4" t="s">
        <v>625</v>
      </c>
      <c r="F41" s="4" t="s">
        <v>34</v>
      </c>
    </row>
    <row r="42" customFormat="false" ht="15" hidden="false" customHeight="false" outlineLevel="0" collapsed="false">
      <c r="A42" s="4" t="s">
        <v>1087</v>
      </c>
      <c r="B42" s="4" t="s">
        <v>1088</v>
      </c>
      <c r="C42" s="4" t="s">
        <v>1089</v>
      </c>
      <c r="D42" s="4" t="s">
        <v>1004</v>
      </c>
      <c r="E42" s="4" t="s">
        <v>629</v>
      </c>
      <c r="F42" s="4" t="s">
        <v>34</v>
      </c>
    </row>
    <row r="43" customFormat="false" ht="15" hidden="false" customHeight="false" outlineLevel="0" collapsed="false">
      <c r="A43" s="4" t="s">
        <v>116</v>
      </c>
      <c r="B43" s="4" t="s">
        <v>1090</v>
      </c>
      <c r="C43" s="4" t="s">
        <v>1091</v>
      </c>
      <c r="D43" s="4" t="s">
        <v>1004</v>
      </c>
      <c r="E43" s="4" t="s">
        <v>633</v>
      </c>
      <c r="F43" s="4" t="s">
        <v>34</v>
      </c>
    </row>
    <row r="44" customFormat="false" ht="15" hidden="false" customHeight="false" outlineLevel="0" collapsed="false">
      <c r="A44" s="4" t="s">
        <v>116</v>
      </c>
      <c r="B44" s="4" t="s">
        <v>1092</v>
      </c>
      <c r="C44" s="4" t="s">
        <v>1093</v>
      </c>
      <c r="D44" s="4" t="s">
        <v>1004</v>
      </c>
      <c r="E44" s="4" t="s">
        <v>633</v>
      </c>
      <c r="F44" s="4" t="s">
        <v>1094</v>
      </c>
    </row>
    <row r="45" customFormat="false" ht="15" hidden="false" customHeight="false" outlineLevel="0" collapsed="false">
      <c r="A45" s="4" t="s">
        <v>118</v>
      </c>
      <c r="B45" s="4" t="s">
        <v>1095</v>
      </c>
      <c r="C45" s="4" t="s">
        <v>1096</v>
      </c>
      <c r="D45" s="4" t="s">
        <v>1004</v>
      </c>
      <c r="E45" s="4" t="s">
        <v>637</v>
      </c>
      <c r="F45" s="4" t="s">
        <v>34</v>
      </c>
    </row>
    <row r="46" customFormat="false" ht="15" hidden="false" customHeight="false" outlineLevel="0" collapsed="false">
      <c r="A46" s="4" t="s">
        <v>1067</v>
      </c>
      <c r="B46" s="4" t="s">
        <v>1097</v>
      </c>
      <c r="C46" s="4" t="s">
        <v>1098</v>
      </c>
      <c r="D46" s="4" t="s">
        <v>1004</v>
      </c>
      <c r="E46" s="4" t="s">
        <v>645</v>
      </c>
      <c r="F46" s="4" t="s">
        <v>34</v>
      </c>
    </row>
    <row r="47" customFormat="false" ht="15" hidden="false" customHeight="false" outlineLevel="0" collapsed="false">
      <c r="A47" s="4" t="s">
        <v>1067</v>
      </c>
      <c r="B47" s="4" t="s">
        <v>1099</v>
      </c>
      <c r="C47" s="4" t="s">
        <v>1100</v>
      </c>
      <c r="D47" s="4" t="s">
        <v>1009</v>
      </c>
      <c r="E47" s="4" t="s">
        <v>645</v>
      </c>
      <c r="F47" s="4" t="s">
        <v>34</v>
      </c>
    </row>
    <row r="48" customFormat="false" ht="15" hidden="false" customHeight="false" outlineLevel="0" collapsed="false">
      <c r="A48" s="4" t="s">
        <v>1101</v>
      </c>
      <c r="B48" s="4" t="s">
        <v>1102</v>
      </c>
      <c r="C48" s="4" t="s">
        <v>1103</v>
      </c>
      <c r="D48" s="4" t="s">
        <v>1004</v>
      </c>
      <c r="E48" s="4" t="s">
        <v>648</v>
      </c>
      <c r="F48" s="4" t="s">
        <v>34</v>
      </c>
    </row>
    <row r="49" customFormat="false" ht="15" hidden="false" customHeight="false" outlineLevel="0" collapsed="false">
      <c r="A49" s="4" t="s">
        <v>1104</v>
      </c>
      <c r="B49" s="4" t="s">
        <v>1105</v>
      </c>
      <c r="C49" s="4" t="s">
        <v>1106</v>
      </c>
      <c r="D49" s="4" t="s">
        <v>1004</v>
      </c>
      <c r="E49" s="4" t="s">
        <v>566</v>
      </c>
      <c r="F49" s="4" t="s">
        <v>34</v>
      </c>
    </row>
    <row r="50" customFormat="false" ht="15" hidden="false" customHeight="false" outlineLevel="0" collapsed="false">
      <c r="A50" s="4" t="s">
        <v>1104</v>
      </c>
      <c r="B50" s="4" t="s">
        <v>1107</v>
      </c>
      <c r="C50" s="4" t="s">
        <v>1108</v>
      </c>
      <c r="D50" s="4" t="s">
        <v>1004</v>
      </c>
      <c r="E50" s="4" t="s">
        <v>566</v>
      </c>
      <c r="F50" s="4" t="s">
        <v>34</v>
      </c>
    </row>
    <row r="51" customFormat="false" ht="15" hidden="false" customHeight="false" outlineLevel="0" collapsed="false">
      <c r="A51" s="4" t="s">
        <v>1104</v>
      </c>
      <c r="B51" s="4" t="s">
        <v>1109</v>
      </c>
      <c r="C51" s="4" t="s">
        <v>1110</v>
      </c>
      <c r="D51" s="4" t="s">
        <v>1004</v>
      </c>
      <c r="E51" s="4" t="s">
        <v>566</v>
      </c>
      <c r="F51" s="4" t="s">
        <v>34</v>
      </c>
    </row>
    <row r="52" customFormat="false" ht="15" hidden="false" customHeight="false" outlineLevel="0" collapsed="false">
      <c r="A52" s="4" t="s">
        <v>1111</v>
      </c>
      <c r="B52" s="4" t="s">
        <v>1112</v>
      </c>
      <c r="C52" s="4" t="s">
        <v>1113</v>
      </c>
      <c r="D52" s="4" t="s">
        <v>1004</v>
      </c>
      <c r="E52" s="4" t="s">
        <v>570</v>
      </c>
      <c r="F52" s="4" t="s">
        <v>34</v>
      </c>
    </row>
    <row r="53" customFormat="false" ht="15" hidden="false" customHeight="false" outlineLevel="0" collapsed="false">
      <c r="A53" s="4" t="s">
        <v>1111</v>
      </c>
      <c r="B53" s="4" t="s">
        <v>1114</v>
      </c>
      <c r="C53" s="4" t="s">
        <v>1115</v>
      </c>
      <c r="D53" s="4" t="s">
        <v>1004</v>
      </c>
      <c r="E53" s="4" t="s">
        <v>570</v>
      </c>
      <c r="F53" s="4" t="s">
        <v>34</v>
      </c>
    </row>
    <row r="54" customFormat="false" ht="15" hidden="false" customHeight="false" outlineLevel="0" collapsed="false">
      <c r="A54" s="4" t="s">
        <v>1111</v>
      </c>
      <c r="B54" s="4" t="s">
        <v>1116</v>
      </c>
      <c r="C54" s="4" t="s">
        <v>1117</v>
      </c>
      <c r="D54" s="4" t="s">
        <v>1004</v>
      </c>
      <c r="E54" s="4" t="s">
        <v>570</v>
      </c>
      <c r="F54" s="4" t="s">
        <v>34</v>
      </c>
    </row>
    <row r="55" customFormat="false" ht="15" hidden="false" customHeight="false" outlineLevel="0" collapsed="false">
      <c r="A55" s="4" t="s">
        <v>1118</v>
      </c>
      <c r="B55" s="4" t="s">
        <v>1119</v>
      </c>
      <c r="C55" s="4" t="s">
        <v>1120</v>
      </c>
      <c r="D55" s="4" t="s">
        <v>1004</v>
      </c>
      <c r="E55" s="4" t="s">
        <v>573</v>
      </c>
      <c r="F55" s="4" t="s">
        <v>34</v>
      </c>
    </row>
    <row r="56" customFormat="false" ht="15" hidden="false" customHeight="false" outlineLevel="0" collapsed="false">
      <c r="A56" s="4" t="s">
        <v>1118</v>
      </c>
      <c r="B56" s="4" t="s">
        <v>1121</v>
      </c>
      <c r="C56" s="4" t="s">
        <v>1122</v>
      </c>
      <c r="D56" s="4" t="s">
        <v>1004</v>
      </c>
      <c r="E56" s="4" t="s">
        <v>573</v>
      </c>
      <c r="F56" s="4" t="s">
        <v>34</v>
      </c>
    </row>
    <row r="57" customFormat="false" ht="15" hidden="false" customHeight="false" outlineLevel="0" collapsed="false">
      <c r="A57" s="4" t="s">
        <v>1123</v>
      </c>
      <c r="B57" s="4" t="s">
        <v>1124</v>
      </c>
      <c r="C57" s="4" t="s">
        <v>1125</v>
      </c>
      <c r="D57" s="4" t="s">
        <v>1004</v>
      </c>
      <c r="E57" s="4" t="s">
        <v>576</v>
      </c>
      <c r="F57" s="4" t="s">
        <v>34</v>
      </c>
    </row>
    <row r="58" customFormat="false" ht="15" hidden="false" customHeight="false" outlineLevel="0" collapsed="false">
      <c r="A58" s="4" t="s">
        <v>1123</v>
      </c>
      <c r="B58" s="4" t="s">
        <v>1126</v>
      </c>
      <c r="C58" s="4" t="s">
        <v>1127</v>
      </c>
      <c r="D58" s="4" t="s">
        <v>1004</v>
      </c>
      <c r="E58" s="4" t="s">
        <v>576</v>
      </c>
      <c r="F58" s="4" t="s">
        <v>34</v>
      </c>
    </row>
    <row r="59" customFormat="false" ht="15" hidden="false" customHeight="false" outlineLevel="0" collapsed="false">
      <c r="A59" s="4" t="s">
        <v>580</v>
      </c>
      <c r="B59" s="4" t="s">
        <v>1128</v>
      </c>
      <c r="C59" s="4" t="s">
        <v>1129</v>
      </c>
      <c r="D59" s="4" t="s">
        <v>1004</v>
      </c>
      <c r="E59" s="4" t="s">
        <v>579</v>
      </c>
      <c r="F59" s="4" t="s">
        <v>34</v>
      </c>
    </row>
    <row r="60" customFormat="false" ht="15" hidden="false" customHeight="false" outlineLevel="0" collapsed="false">
      <c r="A60" s="4" t="s">
        <v>580</v>
      </c>
      <c r="B60" s="4" t="s">
        <v>1130</v>
      </c>
      <c r="C60" s="4" t="s">
        <v>1131</v>
      </c>
      <c r="D60" s="4" t="s">
        <v>1004</v>
      </c>
      <c r="E60" s="4" t="s">
        <v>579</v>
      </c>
      <c r="F60" s="4" t="s">
        <v>34</v>
      </c>
    </row>
    <row r="61" customFormat="false" ht="15" hidden="false" customHeight="false" outlineLevel="0" collapsed="false">
      <c r="A61" s="4" t="s">
        <v>580</v>
      </c>
      <c r="B61" s="4" t="s">
        <v>1132</v>
      </c>
      <c r="C61" s="4" t="s">
        <v>1133</v>
      </c>
      <c r="D61" s="4" t="s">
        <v>1004</v>
      </c>
      <c r="E61" s="4" t="s">
        <v>579</v>
      </c>
      <c r="F61" s="4" t="s">
        <v>34</v>
      </c>
    </row>
    <row r="62" customFormat="false" ht="23.85" hidden="false" customHeight="false" outlineLevel="0" collapsed="false">
      <c r="A62" s="4" t="s">
        <v>583</v>
      </c>
      <c r="B62" s="4" t="s">
        <v>1134</v>
      </c>
      <c r="C62" s="4" t="s">
        <v>1135</v>
      </c>
      <c r="D62" s="4" t="s">
        <v>1004</v>
      </c>
      <c r="E62" s="4" t="s">
        <v>582</v>
      </c>
      <c r="F62" s="4" t="s">
        <v>34</v>
      </c>
    </row>
    <row r="63" customFormat="false" ht="23.85" hidden="false" customHeight="false" outlineLevel="0" collapsed="false">
      <c r="A63" s="4" t="s">
        <v>583</v>
      </c>
      <c r="B63" s="4" t="s">
        <v>1136</v>
      </c>
      <c r="C63" s="4" t="s">
        <v>1137</v>
      </c>
      <c r="D63" s="4" t="s">
        <v>1004</v>
      </c>
      <c r="E63" s="4" t="s">
        <v>582</v>
      </c>
      <c r="F63" s="4" t="s">
        <v>34</v>
      </c>
    </row>
    <row r="64" customFormat="false" ht="23.85" hidden="false" customHeight="false" outlineLevel="0" collapsed="false">
      <c r="A64" s="4" t="s">
        <v>1138</v>
      </c>
      <c r="B64" s="4" t="s">
        <v>1139</v>
      </c>
      <c r="C64" s="4" t="s">
        <v>1140</v>
      </c>
      <c r="D64" s="4" t="s">
        <v>1004</v>
      </c>
      <c r="E64" s="4" t="s">
        <v>651</v>
      </c>
      <c r="F64" s="4" t="s">
        <v>34</v>
      </c>
    </row>
    <row r="65" customFormat="false" ht="23.85" hidden="false" customHeight="false" outlineLevel="0" collapsed="false">
      <c r="A65" s="4" t="s">
        <v>1138</v>
      </c>
      <c r="B65" s="4" t="s">
        <v>1141</v>
      </c>
      <c r="C65" s="4" t="s">
        <v>1142</v>
      </c>
      <c r="D65" s="4" t="s">
        <v>1004</v>
      </c>
      <c r="E65" s="4" t="s">
        <v>651</v>
      </c>
      <c r="F65" s="4" t="s">
        <v>34</v>
      </c>
    </row>
    <row r="66" customFormat="false" ht="23.85" hidden="false" customHeight="false" outlineLevel="0" collapsed="false">
      <c r="A66" s="4" t="s">
        <v>1138</v>
      </c>
      <c r="B66" s="4" t="s">
        <v>1143</v>
      </c>
      <c r="C66" s="4" t="s">
        <v>1144</v>
      </c>
      <c r="D66" s="4" t="s">
        <v>1004</v>
      </c>
      <c r="E66" s="4" t="s">
        <v>656</v>
      </c>
      <c r="F66" s="4" t="s">
        <v>34</v>
      </c>
    </row>
    <row r="67" customFormat="false" ht="23.85" hidden="false" customHeight="false" outlineLevel="0" collapsed="false">
      <c r="A67" s="4" t="s">
        <v>1138</v>
      </c>
      <c r="B67" s="4" t="s">
        <v>1145</v>
      </c>
      <c r="C67" s="4" t="s">
        <v>1146</v>
      </c>
      <c r="D67" s="4" t="s">
        <v>1004</v>
      </c>
      <c r="E67" s="4" t="s">
        <v>664</v>
      </c>
      <c r="F67" s="4" t="s">
        <v>34</v>
      </c>
    </row>
    <row r="68" customFormat="false" ht="23.85" hidden="false" customHeight="false" outlineLevel="0" collapsed="false">
      <c r="A68" s="4" t="s">
        <v>1138</v>
      </c>
      <c r="B68" s="4" t="s">
        <v>1147</v>
      </c>
      <c r="C68" s="4" t="s">
        <v>1148</v>
      </c>
      <c r="D68" s="4" t="s">
        <v>1004</v>
      </c>
      <c r="E68" s="4" t="s">
        <v>664</v>
      </c>
      <c r="F68" s="4" t="s">
        <v>34</v>
      </c>
    </row>
    <row r="69" customFormat="false" ht="15" hidden="false" customHeight="false" outlineLevel="0" collapsed="false">
      <c r="A69" s="4" t="s">
        <v>1149</v>
      </c>
      <c r="B69" s="4" t="s">
        <v>1150</v>
      </c>
      <c r="C69" s="4" t="s">
        <v>1151</v>
      </c>
      <c r="D69" s="4" t="s">
        <v>1004</v>
      </c>
      <c r="E69" s="4" t="s">
        <v>671</v>
      </c>
      <c r="F69" s="4" t="s">
        <v>34</v>
      </c>
    </row>
    <row r="70" customFormat="false" ht="15" hidden="false" customHeight="false" outlineLevel="0" collapsed="false">
      <c r="A70" s="4" t="s">
        <v>1152</v>
      </c>
      <c r="B70" s="4" t="s">
        <v>1153</v>
      </c>
      <c r="C70" s="4" t="s">
        <v>1154</v>
      </c>
      <c r="D70" s="4" t="s">
        <v>1004</v>
      </c>
      <c r="E70" s="4" t="s">
        <v>585</v>
      </c>
      <c r="F70" s="4" t="s">
        <v>34</v>
      </c>
    </row>
    <row r="71" customFormat="false" ht="15" hidden="false" customHeight="false" outlineLevel="0" collapsed="false">
      <c r="A71" s="4" t="s">
        <v>1152</v>
      </c>
      <c r="B71" s="4" t="s">
        <v>1155</v>
      </c>
      <c r="C71" s="4" t="s">
        <v>1156</v>
      </c>
      <c r="D71" s="4" t="s">
        <v>1004</v>
      </c>
      <c r="E71" s="4" t="s">
        <v>585</v>
      </c>
      <c r="F71" s="4" t="s">
        <v>34</v>
      </c>
    </row>
    <row r="72" customFormat="false" ht="15" hidden="false" customHeight="false" outlineLevel="0" collapsed="false">
      <c r="A72" s="4" t="s">
        <v>1157</v>
      </c>
      <c r="B72" s="4" t="s">
        <v>1158</v>
      </c>
      <c r="C72" s="4" t="s">
        <v>1159</v>
      </c>
      <c r="D72" s="4" t="s">
        <v>1004</v>
      </c>
      <c r="E72" s="4" t="s">
        <v>589</v>
      </c>
      <c r="F72" s="4" t="s">
        <v>34</v>
      </c>
    </row>
    <row r="73" customFormat="false" ht="15" hidden="false" customHeight="false" outlineLevel="0" collapsed="false">
      <c r="A73" s="4" t="s">
        <v>1157</v>
      </c>
      <c r="B73" s="4" t="s">
        <v>1160</v>
      </c>
      <c r="C73" s="4" t="s">
        <v>1161</v>
      </c>
      <c r="D73" s="4" t="s">
        <v>1004</v>
      </c>
      <c r="E73" s="4" t="s">
        <v>589</v>
      </c>
      <c r="F73" s="4" t="s">
        <v>34</v>
      </c>
    </row>
    <row r="74" customFormat="false" ht="15" hidden="false" customHeight="false" outlineLevel="0" collapsed="false">
      <c r="A74" s="4" t="s">
        <v>1162</v>
      </c>
      <c r="B74" s="4" t="s">
        <v>1163</v>
      </c>
      <c r="C74" s="4" t="s">
        <v>1164</v>
      </c>
      <c r="D74" s="4" t="s">
        <v>1004</v>
      </c>
      <c r="E74" s="4" t="s">
        <v>592</v>
      </c>
      <c r="F74" s="4" t="s">
        <v>34</v>
      </c>
    </row>
    <row r="75" customFormat="false" ht="15" hidden="false" customHeight="false" outlineLevel="0" collapsed="false">
      <c r="A75" s="4" t="s">
        <v>1162</v>
      </c>
      <c r="B75" s="4" t="s">
        <v>1165</v>
      </c>
      <c r="C75" s="4" t="s">
        <v>1166</v>
      </c>
      <c r="D75" s="4" t="s">
        <v>1004</v>
      </c>
      <c r="E75" s="4" t="s">
        <v>592</v>
      </c>
      <c r="F75" s="4" t="s">
        <v>34</v>
      </c>
    </row>
    <row r="76" customFormat="false" ht="23.85" hidden="false" customHeight="false" outlineLevel="0" collapsed="false">
      <c r="A76" s="4" t="s">
        <v>596</v>
      </c>
      <c r="B76" s="4" t="s">
        <v>1167</v>
      </c>
      <c r="C76" s="4" t="s">
        <v>1168</v>
      </c>
      <c r="D76" s="4" t="s">
        <v>1004</v>
      </c>
      <c r="E76" s="4" t="s">
        <v>595</v>
      </c>
      <c r="F76" s="4" t="s">
        <v>34</v>
      </c>
    </row>
    <row r="77" customFormat="false" ht="23.85" hidden="false" customHeight="false" outlineLevel="0" collapsed="false">
      <c r="A77" s="4" t="s">
        <v>596</v>
      </c>
      <c r="B77" s="4" t="s">
        <v>1169</v>
      </c>
      <c r="C77" s="4" t="s">
        <v>1170</v>
      </c>
      <c r="D77" s="4" t="s">
        <v>1004</v>
      </c>
      <c r="E77" s="4" t="s">
        <v>595</v>
      </c>
      <c r="F77" s="4" t="s">
        <v>34</v>
      </c>
    </row>
    <row r="78" customFormat="false" ht="15" hidden="false" customHeight="false" outlineLevel="0" collapsed="false">
      <c r="A78" s="4" t="s">
        <v>1171</v>
      </c>
      <c r="B78" s="4" t="s">
        <v>1172</v>
      </c>
      <c r="C78" s="4" t="s">
        <v>1173</v>
      </c>
      <c r="D78" s="4" t="s">
        <v>1004</v>
      </c>
      <c r="E78" s="4" t="s">
        <v>598</v>
      </c>
      <c r="F78" s="4" t="s">
        <v>34</v>
      </c>
    </row>
    <row r="79" customFormat="false" ht="23.85" hidden="false" customHeight="false" outlineLevel="0" collapsed="false">
      <c r="A79" s="4" t="s">
        <v>1174</v>
      </c>
      <c r="B79" s="4" t="s">
        <v>1175</v>
      </c>
      <c r="C79" s="4" t="s">
        <v>1176</v>
      </c>
      <c r="D79" s="4" t="s">
        <v>1004</v>
      </c>
      <c r="E79" s="4" t="s">
        <v>677</v>
      </c>
      <c r="F79" s="4" t="s">
        <v>34</v>
      </c>
    </row>
    <row r="80" customFormat="false" ht="15" hidden="false" customHeight="false" outlineLevel="0" collapsed="false">
      <c r="A80" s="4" t="s">
        <v>1177</v>
      </c>
      <c r="B80" s="4" t="s">
        <v>1178</v>
      </c>
      <c r="C80" s="4" t="s">
        <v>1179</v>
      </c>
      <c r="D80" s="4" t="s">
        <v>1004</v>
      </c>
      <c r="E80" s="4" t="s">
        <v>682</v>
      </c>
      <c r="F80" s="4" t="s">
        <v>34</v>
      </c>
    </row>
    <row r="81" customFormat="false" ht="15" hidden="false" customHeight="false" outlineLevel="0" collapsed="false">
      <c r="A81" s="4" t="s">
        <v>1180</v>
      </c>
      <c r="B81" s="4" t="s">
        <v>1181</v>
      </c>
      <c r="C81" s="4" t="s">
        <v>1182</v>
      </c>
      <c r="D81" s="4" t="s">
        <v>1004</v>
      </c>
      <c r="E81" s="4" t="s">
        <v>686</v>
      </c>
      <c r="F81" s="4" t="s">
        <v>34</v>
      </c>
    </row>
    <row r="82" customFormat="false" ht="23.85" hidden="false" customHeight="false" outlineLevel="0" collapsed="false">
      <c r="A82" s="4" t="s">
        <v>1180</v>
      </c>
      <c r="B82" s="4" t="s">
        <v>1183</v>
      </c>
      <c r="C82" s="4" t="s">
        <v>1184</v>
      </c>
      <c r="D82" s="4" t="s">
        <v>1009</v>
      </c>
      <c r="E82" s="4" t="s">
        <v>686</v>
      </c>
      <c r="F82" s="4" t="s">
        <v>34</v>
      </c>
    </row>
    <row r="83" customFormat="false" ht="23.85" hidden="false" customHeight="false" outlineLevel="0" collapsed="false">
      <c r="A83" s="4" t="s">
        <v>691</v>
      </c>
      <c r="B83" s="4" t="s">
        <v>1185</v>
      </c>
      <c r="C83" s="4" t="s">
        <v>1186</v>
      </c>
      <c r="D83" s="4" t="s">
        <v>1004</v>
      </c>
      <c r="E83" s="4" t="s">
        <v>690</v>
      </c>
      <c r="F83" s="4" t="s">
        <v>34</v>
      </c>
    </row>
  </sheetData>
  <autoFilter ref="A4:F8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7A"/>
    <pageSetUpPr fitToPage="false"/>
  </sheetPr>
  <dimension ref="A1:F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50"/>
    <col collapsed="false" customWidth="true" hidden="false" outlineLevel="0" max="5" min="4" style="0" width="30"/>
    <col collapsed="false" customWidth="true" hidden="false" outlineLevel="0" max="6" min="6" style="0" width="10"/>
  </cols>
  <sheetData>
    <row r="1" customFormat="false" ht="17.35" hidden="false" customHeight="false" outlineLevel="0" collapsed="false">
      <c r="A1" s="1" t="s">
        <v>22</v>
      </c>
    </row>
    <row r="2" customFormat="false" ht="15" hidden="false" customHeight="false" outlineLevel="0" collapsed="false">
      <c r="A2" s="2" t="s">
        <v>1187</v>
      </c>
    </row>
    <row r="4" customFormat="false" ht="30" hidden="false" customHeight="true" outlineLevel="0" collapsed="false">
      <c r="A4" s="3" t="s">
        <v>409</v>
      </c>
      <c r="B4" s="3" t="s">
        <v>930</v>
      </c>
      <c r="C4" s="3" t="s">
        <v>1188</v>
      </c>
      <c r="D4" s="3" t="s">
        <v>1189</v>
      </c>
      <c r="E4" s="3" t="s">
        <v>325</v>
      </c>
      <c r="F4" s="3" t="s">
        <v>1190</v>
      </c>
    </row>
    <row r="5" customFormat="false" ht="15" hidden="false" customHeight="false" outlineLevel="0" collapsed="false">
      <c r="A5" s="4" t="s">
        <v>1191</v>
      </c>
      <c r="B5" s="4" t="s">
        <v>1192</v>
      </c>
      <c r="C5" s="4" t="s">
        <v>1193</v>
      </c>
      <c r="D5" s="4" t="s">
        <v>1194</v>
      </c>
      <c r="E5" s="4" t="s">
        <v>1195</v>
      </c>
      <c r="F5" s="4" t="s">
        <v>1196</v>
      </c>
    </row>
    <row r="6" customFormat="false" ht="15" hidden="false" customHeight="false" outlineLevel="0" collapsed="false">
      <c r="A6" s="4" t="s">
        <v>1197</v>
      </c>
      <c r="B6" s="4" t="s">
        <v>1198</v>
      </c>
      <c r="C6" s="4" t="s">
        <v>1199</v>
      </c>
      <c r="D6" s="4" t="s">
        <v>1200</v>
      </c>
      <c r="E6" s="4" t="s">
        <v>1201</v>
      </c>
      <c r="F6" s="4" t="s">
        <v>1202</v>
      </c>
    </row>
    <row r="7" customFormat="false" ht="15" hidden="false" customHeight="false" outlineLevel="0" collapsed="false">
      <c r="A7" s="4" t="s">
        <v>1203</v>
      </c>
      <c r="B7" s="4" t="s">
        <v>1198</v>
      </c>
      <c r="C7" s="4" t="s">
        <v>1204</v>
      </c>
      <c r="D7" s="4" t="s">
        <v>1205</v>
      </c>
      <c r="E7" s="4" t="s">
        <v>1206</v>
      </c>
      <c r="F7" s="4" t="s">
        <v>1207</v>
      </c>
    </row>
    <row r="8" customFormat="false" ht="15" hidden="false" customHeight="false" outlineLevel="0" collapsed="false">
      <c r="A8" s="4" t="s">
        <v>1208</v>
      </c>
      <c r="B8" s="4" t="s">
        <v>1198</v>
      </c>
      <c r="C8" s="4" t="s">
        <v>1209</v>
      </c>
      <c r="D8" s="4" t="s">
        <v>1210</v>
      </c>
      <c r="E8" s="4" t="s">
        <v>1211</v>
      </c>
      <c r="F8" s="4" t="s">
        <v>1202</v>
      </c>
    </row>
    <row r="9" customFormat="false" ht="15" hidden="false" customHeight="false" outlineLevel="0" collapsed="false">
      <c r="A9" s="4" t="s">
        <v>1212</v>
      </c>
      <c r="B9" s="4" t="s">
        <v>1213</v>
      </c>
      <c r="C9" s="4" t="s">
        <v>1214</v>
      </c>
      <c r="D9" s="4" t="s">
        <v>1215</v>
      </c>
      <c r="E9" s="4" t="s">
        <v>1216</v>
      </c>
      <c r="F9" s="4" t="s">
        <v>1217</v>
      </c>
    </row>
    <row r="10" customFormat="false" ht="15" hidden="false" customHeight="false" outlineLevel="0" collapsed="false">
      <c r="A10" s="4" t="s">
        <v>1218</v>
      </c>
      <c r="B10" s="4" t="s">
        <v>1198</v>
      </c>
      <c r="C10" s="4" t="s">
        <v>1219</v>
      </c>
      <c r="D10" s="4" t="s">
        <v>1210</v>
      </c>
      <c r="E10" s="4" t="s">
        <v>1220</v>
      </c>
      <c r="F10" s="4" t="s">
        <v>1202</v>
      </c>
    </row>
    <row r="11" customFormat="false" ht="15" hidden="false" customHeight="false" outlineLevel="0" collapsed="false">
      <c r="A11" s="4" t="s">
        <v>1221</v>
      </c>
      <c r="B11" s="4" t="s">
        <v>1222</v>
      </c>
      <c r="C11" s="4" t="s">
        <v>1223</v>
      </c>
      <c r="D11" s="4" t="s">
        <v>1224</v>
      </c>
      <c r="E11" s="4" t="s">
        <v>1225</v>
      </c>
      <c r="F11" s="4" t="s">
        <v>1202</v>
      </c>
    </row>
    <row r="12" customFormat="false" ht="15" hidden="false" customHeight="false" outlineLevel="0" collapsed="false">
      <c r="A12" s="4" t="s">
        <v>1226</v>
      </c>
      <c r="B12" s="4" t="s">
        <v>1227</v>
      </c>
      <c r="C12" s="4" t="s">
        <v>1228</v>
      </c>
      <c r="D12" s="4" t="s">
        <v>1215</v>
      </c>
      <c r="E12" s="4" t="s">
        <v>1229</v>
      </c>
      <c r="F12" s="4" t="s">
        <v>1202</v>
      </c>
    </row>
    <row r="13" customFormat="false" ht="15" hidden="false" customHeight="false" outlineLevel="0" collapsed="false">
      <c r="A13" s="4" t="s">
        <v>1230</v>
      </c>
      <c r="B13" s="4" t="s">
        <v>1213</v>
      </c>
      <c r="C13" s="4" t="s">
        <v>1231</v>
      </c>
      <c r="D13" s="4" t="s">
        <v>706</v>
      </c>
      <c r="E13" s="4" t="s">
        <v>1232</v>
      </c>
      <c r="F13" s="4" t="s">
        <v>1233</v>
      </c>
    </row>
    <row r="14" customFormat="false" ht="15" hidden="false" customHeight="false" outlineLevel="0" collapsed="false">
      <c r="A14" s="4" t="s">
        <v>1234</v>
      </c>
      <c r="B14" s="4" t="s">
        <v>1235</v>
      </c>
      <c r="C14" s="4" t="s">
        <v>1236</v>
      </c>
      <c r="D14" s="4" t="s">
        <v>1200</v>
      </c>
      <c r="E14" s="4" t="s">
        <v>1237</v>
      </c>
      <c r="F14" s="4" t="s">
        <v>1202</v>
      </c>
    </row>
    <row r="15" customFormat="false" ht="15" hidden="false" customHeight="false" outlineLevel="0" collapsed="false">
      <c r="A15" s="4" t="s">
        <v>1238</v>
      </c>
      <c r="B15" s="4" t="s">
        <v>1239</v>
      </c>
      <c r="C15" s="4" t="s">
        <v>1240</v>
      </c>
      <c r="D15" s="4" t="s">
        <v>1215</v>
      </c>
      <c r="E15" s="4" t="s">
        <v>1241</v>
      </c>
      <c r="F15" s="4" t="s">
        <v>1207</v>
      </c>
    </row>
    <row r="16" customFormat="false" ht="15" hidden="false" customHeight="false" outlineLevel="0" collapsed="false">
      <c r="A16" s="4" t="s">
        <v>1242</v>
      </c>
      <c r="B16" s="4" t="s">
        <v>1235</v>
      </c>
      <c r="C16" s="4" t="s">
        <v>1243</v>
      </c>
      <c r="D16" s="4" t="s">
        <v>1210</v>
      </c>
      <c r="E16" s="4" t="s">
        <v>1244</v>
      </c>
      <c r="F16" s="4" t="s">
        <v>1202</v>
      </c>
    </row>
    <row r="17" customFormat="false" ht="15" hidden="false" customHeight="false" outlineLevel="0" collapsed="false">
      <c r="A17" s="4" t="s">
        <v>1245</v>
      </c>
      <c r="B17" s="4" t="s">
        <v>1235</v>
      </c>
      <c r="C17" s="4" t="s">
        <v>1246</v>
      </c>
      <c r="D17" s="4" t="s">
        <v>1210</v>
      </c>
      <c r="E17" s="4" t="s">
        <v>1247</v>
      </c>
      <c r="F17" s="4" t="s">
        <v>1202</v>
      </c>
    </row>
    <row r="18" customFormat="false" ht="15" hidden="false" customHeight="false" outlineLevel="0" collapsed="false">
      <c r="A18" s="4" t="s">
        <v>1248</v>
      </c>
      <c r="B18" s="4" t="s">
        <v>1249</v>
      </c>
      <c r="C18" s="4" t="s">
        <v>1250</v>
      </c>
      <c r="D18" s="4" t="s">
        <v>1224</v>
      </c>
      <c r="E18" s="4" t="s">
        <v>1225</v>
      </c>
      <c r="F18" s="4" t="s">
        <v>1202</v>
      </c>
    </row>
    <row r="19" customFormat="false" ht="15" hidden="false" customHeight="false" outlineLevel="0" collapsed="false">
      <c r="A19" s="4" t="s">
        <v>1251</v>
      </c>
      <c r="B19" s="4" t="s">
        <v>1252</v>
      </c>
      <c r="C19" s="4" t="s">
        <v>1253</v>
      </c>
      <c r="D19" s="4" t="s">
        <v>1200</v>
      </c>
      <c r="E19" s="4" t="s">
        <v>1254</v>
      </c>
      <c r="F19" s="4" t="s">
        <v>1202</v>
      </c>
    </row>
    <row r="20" customFormat="false" ht="15" hidden="false" customHeight="false" outlineLevel="0" collapsed="false">
      <c r="A20" s="4" t="s">
        <v>1255</v>
      </c>
      <c r="B20" s="4" t="s">
        <v>1256</v>
      </c>
      <c r="C20" s="4" t="s">
        <v>1257</v>
      </c>
      <c r="D20" s="4" t="s">
        <v>1215</v>
      </c>
      <c r="E20" s="4" t="s">
        <v>1258</v>
      </c>
      <c r="F20" s="4" t="s">
        <v>1202</v>
      </c>
    </row>
    <row r="21" customFormat="false" ht="15" hidden="false" customHeight="false" outlineLevel="0" collapsed="false">
      <c r="A21" s="4" t="s">
        <v>1259</v>
      </c>
      <c r="B21" s="4" t="s">
        <v>1252</v>
      </c>
      <c r="C21" s="4" t="s">
        <v>1260</v>
      </c>
      <c r="D21" s="4" t="s">
        <v>1210</v>
      </c>
      <c r="E21" s="4" t="s">
        <v>1261</v>
      </c>
      <c r="F21" s="4" t="s">
        <v>1202</v>
      </c>
    </row>
    <row r="22" customFormat="false" ht="15" hidden="false" customHeight="false" outlineLevel="0" collapsed="false">
      <c r="A22" s="4" t="s">
        <v>1262</v>
      </c>
      <c r="B22" s="4" t="s">
        <v>1263</v>
      </c>
      <c r="C22" s="4" t="s">
        <v>1264</v>
      </c>
      <c r="D22" s="4" t="s">
        <v>1210</v>
      </c>
      <c r="E22" s="4" t="s">
        <v>1265</v>
      </c>
      <c r="F22" s="4" t="s">
        <v>1202</v>
      </c>
    </row>
    <row r="23" customFormat="false" ht="15" hidden="false" customHeight="false" outlineLevel="0" collapsed="false">
      <c r="A23" s="4" t="s">
        <v>1266</v>
      </c>
      <c r="B23" s="4" t="s">
        <v>1256</v>
      </c>
      <c r="C23" s="4" t="s">
        <v>1267</v>
      </c>
      <c r="D23" s="4" t="s">
        <v>1224</v>
      </c>
      <c r="E23" s="4" t="s">
        <v>1225</v>
      </c>
      <c r="F23" s="4" t="s">
        <v>1202</v>
      </c>
    </row>
  </sheetData>
  <autoFilter ref="A4:F2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7A"/>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24"/>
    <col collapsed="false" customWidth="true" hidden="false" outlineLevel="0" max="3" min="3" style="0" width="22"/>
    <col collapsed="false" customWidth="true" hidden="false" outlineLevel="0" max="4" min="4" style="0" width="24"/>
    <col collapsed="false" customWidth="true" hidden="false" outlineLevel="0" max="5" min="5" style="0" width="80"/>
  </cols>
  <sheetData>
    <row r="1" customFormat="false" ht="17.35" hidden="false" customHeight="false" outlineLevel="0" collapsed="false">
      <c r="A1" s="1" t="s">
        <v>24</v>
      </c>
    </row>
    <row r="2" customFormat="false" ht="15" hidden="false" customHeight="false" outlineLevel="0" collapsed="false">
      <c r="A2" s="2" t="s">
        <v>1268</v>
      </c>
    </row>
    <row r="4" customFormat="false" ht="30" hidden="false" customHeight="true" outlineLevel="0" collapsed="false">
      <c r="A4" s="3" t="s">
        <v>1269</v>
      </c>
      <c r="B4" s="3" t="s">
        <v>1270</v>
      </c>
      <c r="C4" s="3" t="s">
        <v>1271</v>
      </c>
      <c r="D4" s="3" t="s">
        <v>402</v>
      </c>
      <c r="E4" s="3" t="s">
        <v>1188</v>
      </c>
    </row>
    <row r="5" customFormat="false" ht="15" hidden="false" customHeight="false" outlineLevel="0" collapsed="false">
      <c r="A5" s="4" t="s">
        <v>1272</v>
      </c>
      <c r="B5" s="4" t="s">
        <v>101</v>
      </c>
      <c r="C5" s="4" t="s">
        <v>1273</v>
      </c>
      <c r="D5" s="4" t="s">
        <v>1274</v>
      </c>
      <c r="E5" s="4" t="s">
        <v>1275</v>
      </c>
    </row>
    <row r="6" customFormat="false" ht="23.85" hidden="false" customHeight="false" outlineLevel="0" collapsed="false">
      <c r="A6" s="4" t="s">
        <v>1276</v>
      </c>
      <c r="B6" s="4" t="s">
        <v>1277</v>
      </c>
      <c r="C6" s="4" t="s">
        <v>1027</v>
      </c>
      <c r="D6" s="4" t="s">
        <v>1274</v>
      </c>
      <c r="E6" s="4" t="s">
        <v>1278</v>
      </c>
    </row>
    <row r="7" customFormat="false" ht="15" hidden="false" customHeight="false" outlineLevel="0" collapsed="false">
      <c r="A7" s="4" t="s">
        <v>1279</v>
      </c>
      <c r="B7" s="4" t="s">
        <v>1280</v>
      </c>
      <c r="C7" s="4" t="s">
        <v>1027</v>
      </c>
      <c r="D7" s="4" t="s">
        <v>34</v>
      </c>
      <c r="E7" s="4" t="s">
        <v>1281</v>
      </c>
    </row>
    <row r="8" customFormat="false" ht="15" hidden="false" customHeight="false" outlineLevel="0" collapsed="false">
      <c r="A8" s="4" t="s">
        <v>1282</v>
      </c>
      <c r="B8" s="4" t="s">
        <v>1283</v>
      </c>
      <c r="C8" s="4" t="s">
        <v>461</v>
      </c>
      <c r="D8" s="4" t="s">
        <v>34</v>
      </c>
      <c r="E8" s="4" t="s">
        <v>1284</v>
      </c>
    </row>
    <row r="9" customFormat="false" ht="15" hidden="false" customHeight="false" outlineLevel="0" collapsed="false">
      <c r="A9" s="4" t="s">
        <v>1285</v>
      </c>
      <c r="B9" s="4" t="s">
        <v>243</v>
      </c>
      <c r="C9" s="4" t="s">
        <v>1286</v>
      </c>
      <c r="D9" s="4" t="s">
        <v>34</v>
      </c>
      <c r="E9" s="4" t="s">
        <v>1287</v>
      </c>
    </row>
    <row r="10" customFormat="false" ht="15" hidden="false" customHeight="false" outlineLevel="0" collapsed="false">
      <c r="A10" s="4" t="s">
        <v>1288</v>
      </c>
      <c r="B10" s="4" t="s">
        <v>1289</v>
      </c>
      <c r="C10" s="4" t="s">
        <v>1027</v>
      </c>
      <c r="D10" s="4" t="s">
        <v>34</v>
      </c>
      <c r="E10" s="4" t="s">
        <v>1290</v>
      </c>
    </row>
    <row r="11" customFormat="false" ht="23.85" hidden="false" customHeight="false" outlineLevel="0" collapsed="false">
      <c r="A11" s="4" t="s">
        <v>726</v>
      </c>
      <c r="B11" s="4" t="s">
        <v>1291</v>
      </c>
      <c r="C11" s="4" t="s">
        <v>1027</v>
      </c>
      <c r="D11" s="4" t="s">
        <v>1292</v>
      </c>
      <c r="E11" s="4" t="s">
        <v>1293</v>
      </c>
    </row>
    <row r="12" customFormat="false" ht="15" hidden="false" customHeight="false" outlineLevel="0" collapsed="false">
      <c r="A12" s="4" t="s">
        <v>1294</v>
      </c>
      <c r="B12" s="4" t="s">
        <v>1295</v>
      </c>
      <c r="C12" s="4" t="s">
        <v>1296</v>
      </c>
      <c r="D12" s="4" t="s">
        <v>34</v>
      </c>
      <c r="E12" s="4" t="s">
        <v>609</v>
      </c>
    </row>
    <row r="13" customFormat="false" ht="15" hidden="false" customHeight="false" outlineLevel="0" collapsed="false">
      <c r="A13" s="4" t="s">
        <v>722</v>
      </c>
      <c r="B13" s="4" t="s">
        <v>1297</v>
      </c>
      <c r="C13" s="4" t="s">
        <v>1298</v>
      </c>
      <c r="D13" s="4" t="s">
        <v>34</v>
      </c>
      <c r="E13" s="4" t="s">
        <v>1299</v>
      </c>
    </row>
    <row r="14" customFormat="false" ht="15" hidden="false" customHeight="false" outlineLevel="0" collapsed="false">
      <c r="A14" s="4" t="s">
        <v>1300</v>
      </c>
      <c r="B14" s="4" t="s">
        <v>1301</v>
      </c>
      <c r="C14" s="4" t="s">
        <v>1286</v>
      </c>
      <c r="D14" s="4" t="s">
        <v>1302</v>
      </c>
      <c r="E14" s="4" t="s">
        <v>1303</v>
      </c>
    </row>
    <row r="15" customFormat="false" ht="15" hidden="false" customHeight="false" outlineLevel="0" collapsed="false">
      <c r="A15" s="4" t="s">
        <v>195</v>
      </c>
      <c r="B15" s="4" t="s">
        <v>1304</v>
      </c>
      <c r="C15" s="4" t="s">
        <v>1286</v>
      </c>
      <c r="D15" s="4" t="s">
        <v>34</v>
      </c>
      <c r="E15" s="4" t="s">
        <v>1305</v>
      </c>
    </row>
    <row r="16" customFormat="false" ht="15" hidden="false" customHeight="false" outlineLevel="0" collapsed="false">
      <c r="A16" s="4" t="s">
        <v>760</v>
      </c>
      <c r="B16" s="4" t="s">
        <v>1306</v>
      </c>
      <c r="C16" s="4" t="s">
        <v>1286</v>
      </c>
      <c r="D16" s="4" t="s">
        <v>34</v>
      </c>
      <c r="E16" s="4" t="s">
        <v>1307</v>
      </c>
    </row>
    <row r="17" customFormat="false" ht="23.85" hidden="false" customHeight="false" outlineLevel="0" collapsed="false">
      <c r="A17" s="4" t="s">
        <v>1308</v>
      </c>
      <c r="B17" s="4" t="s">
        <v>1309</v>
      </c>
      <c r="C17" s="4" t="s">
        <v>771</v>
      </c>
      <c r="D17" s="4" t="s">
        <v>34</v>
      </c>
      <c r="E17" s="4" t="s">
        <v>1310</v>
      </c>
    </row>
  </sheetData>
  <autoFilter ref="A4:E1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7A"/>
    <pageSetUpPr fitToPage="false"/>
  </sheetPr>
  <dimension ref="A1:C1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26"/>
    <col collapsed="false" customWidth="true" hidden="false" outlineLevel="0" max="3" min="3" style="0" width="70"/>
  </cols>
  <sheetData>
    <row r="1" customFormat="false" ht="17.35" hidden="false" customHeight="false" outlineLevel="0" collapsed="false">
      <c r="A1" s="1" t="s">
        <v>26</v>
      </c>
    </row>
    <row r="2" customFormat="false" ht="15" hidden="false" customHeight="false" outlineLevel="0" collapsed="false">
      <c r="A2" s="2" t="s">
        <v>1311</v>
      </c>
    </row>
    <row r="4" customFormat="false" ht="15" hidden="false" customHeight="false" outlineLevel="0" collapsed="false">
      <c r="A4" s="5" t="s">
        <v>1312</v>
      </c>
    </row>
    <row r="5" customFormat="false" ht="30" hidden="false" customHeight="true" outlineLevel="0" collapsed="false">
      <c r="A5" s="8" t="s">
        <v>1313</v>
      </c>
      <c r="B5" s="8"/>
      <c r="C5" s="8" t="s">
        <v>1314</v>
      </c>
    </row>
    <row r="6" customFormat="false" ht="23.85" hidden="false" customHeight="false" outlineLevel="0" collapsed="false">
      <c r="A6" s="4" t="s">
        <v>211</v>
      </c>
      <c r="B6" s="4"/>
      <c r="C6" s="4" t="s">
        <v>1315</v>
      </c>
    </row>
    <row r="7" customFormat="false" ht="23.85" hidden="false" customHeight="false" outlineLevel="0" collapsed="false">
      <c r="A7" s="4" t="s">
        <v>461</v>
      </c>
      <c r="B7" s="4"/>
      <c r="C7" s="4" t="s">
        <v>1316</v>
      </c>
    </row>
    <row r="8" customFormat="false" ht="23.85" hidden="false" customHeight="false" outlineLevel="0" collapsed="false">
      <c r="A8" s="4" t="s">
        <v>1317</v>
      </c>
      <c r="B8" s="4"/>
      <c r="C8" s="4" t="s">
        <v>1318</v>
      </c>
    </row>
    <row r="9" customFormat="false" ht="15" hidden="false" customHeight="false" outlineLevel="0" collapsed="false">
      <c r="A9" s="4" t="s">
        <v>1319</v>
      </c>
      <c r="B9" s="4"/>
      <c r="C9" s="4" t="s">
        <v>1320</v>
      </c>
    </row>
    <row r="11" customFormat="false" ht="15" hidden="false" customHeight="false" outlineLevel="0" collapsed="false">
      <c r="A11" s="5" t="s">
        <v>1321</v>
      </c>
    </row>
    <row r="12" customFormat="false" ht="30" hidden="false" customHeight="true" outlineLevel="0" collapsed="false">
      <c r="A12" s="8" t="s">
        <v>339</v>
      </c>
      <c r="B12" s="8"/>
      <c r="C12" s="8" t="s">
        <v>375</v>
      </c>
    </row>
    <row r="13" customFormat="false" ht="35.05" hidden="false" customHeight="false" outlineLevel="0" collapsed="false">
      <c r="A13" s="4" t="n">
        <v>1</v>
      </c>
      <c r="B13" s="4"/>
      <c r="C13" s="4" t="s">
        <v>1322</v>
      </c>
    </row>
    <row r="14" customFormat="false" ht="35.05" hidden="false" customHeight="false" outlineLevel="0" collapsed="false">
      <c r="A14" s="4" t="n">
        <v>2</v>
      </c>
      <c r="B14" s="4"/>
      <c r="C14" s="4" t="s">
        <v>1323</v>
      </c>
    </row>
    <row r="15" customFormat="false" ht="23.85" hidden="false" customHeight="false" outlineLevel="0" collapsed="false">
      <c r="A15" s="4" t="n">
        <v>3</v>
      </c>
      <c r="B15" s="4"/>
      <c r="C15" s="4" t="s">
        <v>1324</v>
      </c>
    </row>
    <row r="16" customFormat="false" ht="23.85" hidden="false" customHeight="false" outlineLevel="0" collapsed="false">
      <c r="A16" s="4" t="n">
        <v>4</v>
      </c>
      <c r="B16" s="4"/>
      <c r="C16" s="4" t="s">
        <v>1325</v>
      </c>
    </row>
    <row r="17" customFormat="false" ht="15" hidden="false" customHeight="false" outlineLevel="0" collapsed="false">
      <c r="A17" s="4" t="n">
        <v>5</v>
      </c>
      <c r="B17" s="4"/>
      <c r="C17" s="4" t="s">
        <v>1326</v>
      </c>
    </row>
    <row r="19" customFormat="false" ht="15" hidden="false" customHeight="false" outlineLevel="0" collapsed="false">
      <c r="A19" s="5" t="s">
        <v>1327</v>
      </c>
    </row>
    <row r="20" customFormat="false" ht="30" hidden="false" customHeight="true" outlineLevel="0" collapsed="false">
      <c r="A20" s="3" t="s">
        <v>1328</v>
      </c>
      <c r="B20" s="3" t="s">
        <v>1329</v>
      </c>
      <c r="C20" s="3" t="s">
        <v>1330</v>
      </c>
    </row>
    <row r="21" customFormat="false" ht="23.85" hidden="false" customHeight="false" outlineLevel="0" collapsed="false">
      <c r="A21" s="4" t="s">
        <v>1000</v>
      </c>
      <c r="B21" s="4" t="s">
        <v>902</v>
      </c>
      <c r="C21" s="4" t="s">
        <v>1331</v>
      </c>
    </row>
    <row r="22" customFormat="false" ht="15" hidden="false" customHeight="false" outlineLevel="0" collapsed="false">
      <c r="A22" s="4" t="s">
        <v>400</v>
      </c>
      <c r="B22" s="4" t="s">
        <v>902</v>
      </c>
      <c r="C22" s="4" t="s">
        <v>1332</v>
      </c>
    </row>
    <row r="23" customFormat="false" ht="15" hidden="false" customHeight="false" outlineLevel="0" collapsed="false">
      <c r="A23" s="4" t="s">
        <v>409</v>
      </c>
      <c r="B23" s="4" t="s">
        <v>1333</v>
      </c>
      <c r="C23" s="4" t="s">
        <v>1334</v>
      </c>
    </row>
    <row r="24" customFormat="false" ht="15" hidden="false" customHeight="false" outlineLevel="0" collapsed="false">
      <c r="A24" s="4" t="s">
        <v>324</v>
      </c>
      <c r="B24" s="4" t="s">
        <v>1333</v>
      </c>
      <c r="C24" s="4" t="s">
        <v>1335</v>
      </c>
    </row>
    <row r="25" customFormat="false" ht="15" hidden="false" customHeight="false" outlineLevel="0" collapsed="false">
      <c r="A25" s="4" t="s">
        <v>1336</v>
      </c>
      <c r="B25" s="4" t="s">
        <v>1333</v>
      </c>
      <c r="C25" s="4" t="s">
        <v>1337</v>
      </c>
    </row>
    <row r="26" customFormat="false" ht="15" hidden="false" customHeight="false" outlineLevel="0" collapsed="false">
      <c r="A26" s="4" t="s">
        <v>1338</v>
      </c>
      <c r="B26" s="4" t="s">
        <v>1339</v>
      </c>
      <c r="C26" s="4" t="s">
        <v>1340</v>
      </c>
    </row>
    <row r="27" customFormat="false" ht="15" hidden="false" customHeight="false" outlineLevel="0" collapsed="false">
      <c r="A27" s="4" t="s">
        <v>1341</v>
      </c>
      <c r="B27" s="4" t="s">
        <v>1342</v>
      </c>
      <c r="C27" s="4" t="s">
        <v>1343</v>
      </c>
    </row>
    <row r="28" customFormat="false" ht="15" hidden="false" customHeight="false" outlineLevel="0" collapsed="false">
      <c r="A28" s="4" t="s">
        <v>403</v>
      </c>
      <c r="B28" s="4" t="s">
        <v>1344</v>
      </c>
      <c r="C28" s="4" t="s">
        <v>1345</v>
      </c>
    </row>
    <row r="29" customFormat="false" ht="15" hidden="false" customHeight="false" outlineLevel="0" collapsed="false">
      <c r="A29" s="4" t="s">
        <v>406</v>
      </c>
      <c r="B29" s="4" t="s">
        <v>902</v>
      </c>
      <c r="C29" s="4" t="s">
        <v>1346</v>
      </c>
    </row>
    <row r="30" customFormat="false" ht="15" hidden="false" customHeight="false" outlineLevel="0" collapsed="false">
      <c r="A30" s="4" t="s">
        <v>407</v>
      </c>
      <c r="B30" s="4" t="s">
        <v>902</v>
      </c>
      <c r="C30" s="4" t="s">
        <v>1347</v>
      </c>
    </row>
    <row r="31" customFormat="false" ht="15" hidden="false" customHeight="false" outlineLevel="0" collapsed="false">
      <c r="A31" s="4" t="s">
        <v>401</v>
      </c>
      <c r="B31" s="4" t="s">
        <v>1348</v>
      </c>
      <c r="C31" s="4" t="s">
        <v>1349</v>
      </c>
    </row>
    <row r="32" customFormat="false" ht="15" hidden="false" customHeight="false" outlineLevel="0" collapsed="false">
      <c r="A32" s="4" t="s">
        <v>1330</v>
      </c>
      <c r="B32" s="4" t="s">
        <v>1348</v>
      </c>
      <c r="C32" s="4" t="s">
        <v>1350</v>
      </c>
    </row>
    <row r="33" customFormat="false" ht="15" hidden="false" customHeight="false" outlineLevel="0" collapsed="false">
      <c r="A33" s="4" t="s">
        <v>399</v>
      </c>
      <c r="B33" s="4" t="s">
        <v>1333</v>
      </c>
      <c r="C33" s="4" t="s">
        <v>1351</v>
      </c>
    </row>
    <row r="34" customFormat="false" ht="15" hidden="false" customHeight="false" outlineLevel="0" collapsed="false">
      <c r="A34" s="4" t="s">
        <v>126</v>
      </c>
      <c r="B34" s="4" t="s">
        <v>1352</v>
      </c>
      <c r="C34" s="4" t="s">
        <v>1353</v>
      </c>
    </row>
    <row r="35" customFormat="false" ht="15" hidden="false" customHeight="false" outlineLevel="0" collapsed="false">
      <c r="A35" s="4" t="s">
        <v>1354</v>
      </c>
      <c r="B35" s="4" t="s">
        <v>1352</v>
      </c>
      <c r="C35" s="4" t="s">
        <v>1353</v>
      </c>
    </row>
    <row r="36" customFormat="false" ht="15" hidden="false" customHeight="false" outlineLevel="0" collapsed="false">
      <c r="A36" s="4" t="s">
        <v>1355</v>
      </c>
      <c r="B36" s="4" t="s">
        <v>1356</v>
      </c>
      <c r="C36" s="4" t="s">
        <v>1357</v>
      </c>
    </row>
    <row r="37" customFormat="false" ht="15" hidden="false" customHeight="false" outlineLevel="0" collapsed="false">
      <c r="A37" s="4" t="s">
        <v>1358</v>
      </c>
      <c r="B37" s="4" t="s">
        <v>1356</v>
      </c>
      <c r="C37" s="4" t="s">
        <v>1359</v>
      </c>
    </row>
    <row r="38" customFormat="false" ht="15" hidden="false" customHeight="false" outlineLevel="0" collapsed="false">
      <c r="A38" s="4" t="s">
        <v>50</v>
      </c>
      <c r="B38" s="4" t="s">
        <v>1352</v>
      </c>
      <c r="C38" s="4" t="s">
        <v>1360</v>
      </c>
    </row>
    <row r="40" customFormat="false" ht="15" hidden="false" customHeight="false" outlineLevel="0" collapsed="false">
      <c r="A40" s="5" t="s">
        <v>1361</v>
      </c>
    </row>
    <row r="41" customFormat="false" ht="30" hidden="false" customHeight="true" outlineLevel="0" collapsed="false">
      <c r="A41" s="3" t="s">
        <v>324</v>
      </c>
      <c r="B41" s="3"/>
      <c r="C41" s="3"/>
    </row>
    <row r="42" customFormat="false" ht="15" hidden="false" customHeight="false" outlineLevel="0" collapsed="false">
      <c r="A42" s="4" t="s">
        <v>326</v>
      </c>
      <c r="B42" s="4"/>
      <c r="C42" s="4"/>
    </row>
    <row r="43" customFormat="false" ht="15" hidden="false" customHeight="false" outlineLevel="0" collapsed="false">
      <c r="A43" s="4" t="s">
        <v>328</v>
      </c>
      <c r="B43" s="4"/>
      <c r="C43" s="4"/>
    </row>
    <row r="44" customFormat="false" ht="15" hidden="false" customHeight="false" outlineLevel="0" collapsed="false">
      <c r="A44" s="4" t="s">
        <v>330</v>
      </c>
      <c r="B44" s="4"/>
      <c r="C44" s="4"/>
    </row>
    <row r="45" customFormat="false" ht="15" hidden="false" customHeight="false" outlineLevel="0" collapsed="false">
      <c r="A45" s="4" t="s">
        <v>332</v>
      </c>
      <c r="B45" s="4"/>
      <c r="C45" s="4"/>
    </row>
    <row r="46" customFormat="false" ht="15" hidden="false" customHeight="false" outlineLevel="0" collapsed="false">
      <c r="A46" s="4" t="s">
        <v>334</v>
      </c>
      <c r="B46" s="4"/>
      <c r="C46" s="4"/>
    </row>
    <row r="47" customFormat="false" ht="15" hidden="false" customHeight="false" outlineLevel="0" collapsed="false">
      <c r="A47" s="4" t="s">
        <v>336</v>
      </c>
      <c r="B47" s="4"/>
      <c r="C47" s="4"/>
    </row>
    <row r="49" customFormat="false" ht="15" hidden="false" customHeight="false" outlineLevel="0" collapsed="false">
      <c r="A49" s="5" t="s">
        <v>1362</v>
      </c>
    </row>
    <row r="50" customFormat="false" ht="30" hidden="false" customHeight="true" outlineLevel="0" collapsed="false">
      <c r="A50" s="3" t="s">
        <v>1363</v>
      </c>
      <c r="B50" s="3"/>
      <c r="C50" s="3" t="s">
        <v>1364</v>
      </c>
    </row>
    <row r="51" customFormat="false" ht="15" hidden="false" customHeight="false" outlineLevel="0" collapsed="false">
      <c r="A51" s="4" t="s">
        <v>1365</v>
      </c>
      <c r="B51" s="4"/>
      <c r="C51" s="4" t="s">
        <v>1366</v>
      </c>
    </row>
    <row r="52" customFormat="false" ht="15" hidden="false" customHeight="false" outlineLevel="0" collapsed="false">
      <c r="A52" s="4" t="s">
        <v>1367</v>
      </c>
      <c r="B52" s="4"/>
      <c r="C52" s="4" t="s">
        <v>1368</v>
      </c>
    </row>
    <row r="53" customFormat="false" ht="15" hidden="false" customHeight="false" outlineLevel="0" collapsed="false">
      <c r="A53" s="4" t="s">
        <v>1369</v>
      </c>
      <c r="B53" s="4"/>
      <c r="C53" s="4" t="s">
        <v>1370</v>
      </c>
    </row>
    <row r="54" customFormat="false" ht="15" hidden="false" customHeight="false" outlineLevel="0" collapsed="false">
      <c r="A54" s="4" t="s">
        <v>1371</v>
      </c>
      <c r="B54" s="4"/>
      <c r="C54" s="4" t="s">
        <v>1372</v>
      </c>
    </row>
    <row r="55" customFormat="false" ht="15" hidden="false" customHeight="false" outlineLevel="0" collapsed="false">
      <c r="A55" s="4" t="s">
        <v>1373</v>
      </c>
      <c r="B55" s="4"/>
      <c r="C55" s="4" t="s">
        <v>1374</v>
      </c>
    </row>
    <row r="56" customFormat="false" ht="15" hidden="false" customHeight="false" outlineLevel="0" collapsed="false">
      <c r="A56" s="4" t="s">
        <v>1375</v>
      </c>
      <c r="B56" s="4"/>
      <c r="C56" s="4" t="s">
        <v>1376</v>
      </c>
    </row>
    <row r="57" customFormat="false" ht="15" hidden="false" customHeight="false" outlineLevel="0" collapsed="false">
      <c r="A57" s="4" t="s">
        <v>1377</v>
      </c>
      <c r="B57" s="4"/>
      <c r="C57" s="4" t="s">
        <v>1378</v>
      </c>
    </row>
    <row r="58" customFormat="false" ht="15" hidden="false" customHeight="false" outlineLevel="0" collapsed="false">
      <c r="A58" s="4" t="s">
        <v>1379</v>
      </c>
      <c r="B58" s="4"/>
      <c r="C58" s="4" t="s">
        <v>1380</v>
      </c>
    </row>
    <row r="59" customFormat="false" ht="15" hidden="false" customHeight="false" outlineLevel="0" collapsed="false">
      <c r="A59" s="4" t="s">
        <v>1381</v>
      </c>
      <c r="B59" s="4"/>
      <c r="C59" s="4" t="s">
        <v>1382</v>
      </c>
    </row>
    <row r="60" customFormat="false" ht="15" hidden="false" customHeight="false" outlineLevel="0" collapsed="false">
      <c r="A60" s="4" t="s">
        <v>1383</v>
      </c>
      <c r="B60" s="4"/>
      <c r="C60" s="4" t="s">
        <v>1384</v>
      </c>
    </row>
    <row r="62" customFormat="false" ht="15" hidden="false" customHeight="false" outlineLevel="0" collapsed="false">
      <c r="A62" s="5" t="s">
        <v>1385</v>
      </c>
    </row>
    <row r="63" customFormat="false" ht="30" hidden="false" customHeight="true" outlineLevel="0" collapsed="false">
      <c r="A63" s="3" t="s">
        <v>1328</v>
      </c>
      <c r="B63" s="3" t="s">
        <v>1329</v>
      </c>
      <c r="C63" s="3"/>
    </row>
    <row r="64" customFormat="false" ht="15" hidden="false" customHeight="false" outlineLevel="0" collapsed="false">
      <c r="A64" s="4" t="s">
        <v>210</v>
      </c>
      <c r="B64" s="4" t="s">
        <v>1386</v>
      </c>
      <c r="C64" s="4"/>
    </row>
    <row r="65" customFormat="false" ht="23.85" hidden="false" customHeight="false" outlineLevel="0" collapsed="false">
      <c r="A65" s="4" t="s">
        <v>402</v>
      </c>
      <c r="B65" s="4" t="s">
        <v>1387</v>
      </c>
      <c r="C65" s="4"/>
    </row>
    <row r="66" customFormat="false" ht="15" hidden="false" customHeight="false" outlineLevel="0" collapsed="false">
      <c r="A66" s="4" t="s">
        <v>1388</v>
      </c>
      <c r="B66" s="4" t="s">
        <v>902</v>
      </c>
      <c r="C66" s="4"/>
    </row>
    <row r="67" customFormat="false" ht="23.85" hidden="false" customHeight="false" outlineLevel="0" collapsed="false">
      <c r="A67" s="4" t="s">
        <v>860</v>
      </c>
      <c r="B67" s="4" t="s">
        <v>1389</v>
      </c>
      <c r="C67" s="4"/>
    </row>
    <row r="68" customFormat="false" ht="23.85" hidden="false" customHeight="false" outlineLevel="0" collapsed="false">
      <c r="A68" s="4" t="s">
        <v>1329</v>
      </c>
      <c r="B68" s="4" t="s">
        <v>1390</v>
      </c>
      <c r="C68" s="4"/>
    </row>
    <row r="69" customFormat="false" ht="23.85" hidden="false" customHeight="false" outlineLevel="0" collapsed="false">
      <c r="A69" s="4" t="s">
        <v>324</v>
      </c>
      <c r="B69" s="4" t="s">
        <v>1391</v>
      </c>
      <c r="C69" s="4"/>
    </row>
    <row r="70" customFormat="false" ht="15" hidden="false" customHeight="false" outlineLevel="0" collapsed="false">
      <c r="A70" s="4" t="s">
        <v>863</v>
      </c>
      <c r="B70" s="4" t="s">
        <v>1392</v>
      </c>
      <c r="C70" s="4"/>
    </row>
    <row r="71" customFormat="false" ht="15" hidden="false" customHeight="false" outlineLevel="0" collapsed="false">
      <c r="A71" s="4" t="s">
        <v>1393</v>
      </c>
      <c r="B71" s="4" t="s">
        <v>1356</v>
      </c>
      <c r="C71" s="4"/>
    </row>
    <row r="72" customFormat="false" ht="15" hidden="false" customHeight="false" outlineLevel="0" collapsed="false">
      <c r="A72" s="4" t="s">
        <v>1341</v>
      </c>
      <c r="B72" s="4" t="s">
        <v>1356</v>
      </c>
      <c r="C72" s="4"/>
    </row>
    <row r="73" customFormat="false" ht="15" hidden="false" customHeight="false" outlineLevel="0" collapsed="false">
      <c r="A73" s="4" t="s">
        <v>1330</v>
      </c>
      <c r="B73" s="4" t="s">
        <v>1348</v>
      </c>
      <c r="C73" s="4"/>
    </row>
    <row r="75" customFormat="false" ht="15" hidden="false" customHeight="false" outlineLevel="0" collapsed="false">
      <c r="A75" s="5" t="s">
        <v>1394</v>
      </c>
    </row>
    <row r="76" customFormat="false" ht="30" hidden="false" customHeight="true" outlineLevel="0" collapsed="false">
      <c r="A76" s="3" t="s">
        <v>1328</v>
      </c>
      <c r="B76" s="3" t="s">
        <v>1329</v>
      </c>
      <c r="C76" s="3"/>
    </row>
    <row r="77" customFormat="false" ht="15" hidden="false" customHeight="false" outlineLevel="0" collapsed="false">
      <c r="A77" s="4" t="s">
        <v>210</v>
      </c>
      <c r="B77" s="4" t="s">
        <v>1386</v>
      </c>
      <c r="C77" s="4"/>
    </row>
    <row r="78" customFormat="false" ht="46.25" hidden="false" customHeight="false" outlineLevel="0" collapsed="false">
      <c r="A78" s="4" t="s">
        <v>1329</v>
      </c>
      <c r="B78" s="4" t="s">
        <v>1395</v>
      </c>
      <c r="C78" s="4"/>
    </row>
    <row r="79" customFormat="false" ht="15" hidden="false" customHeight="false" outlineLevel="0" collapsed="false">
      <c r="A79" s="4" t="s">
        <v>1396</v>
      </c>
      <c r="B79" s="4" t="s">
        <v>1397</v>
      </c>
      <c r="C79" s="4"/>
    </row>
    <row r="80" customFormat="false" ht="15" hidden="false" customHeight="false" outlineLevel="0" collapsed="false">
      <c r="A80" s="4" t="s">
        <v>1398</v>
      </c>
      <c r="B80" s="4" t="s">
        <v>1348</v>
      </c>
      <c r="C80" s="4"/>
    </row>
    <row r="81" customFormat="false" ht="57.45" hidden="false" customHeight="false" outlineLevel="0" collapsed="false">
      <c r="A81" s="4" t="s">
        <v>324</v>
      </c>
      <c r="B81" s="4" t="s">
        <v>1399</v>
      </c>
      <c r="C81" s="4"/>
    </row>
    <row r="82" customFormat="false" ht="15" hidden="false" customHeight="false" outlineLevel="0" collapsed="false">
      <c r="A82" s="4" t="s">
        <v>1330</v>
      </c>
      <c r="B82" s="4" t="s">
        <v>1348</v>
      </c>
      <c r="C82" s="4"/>
    </row>
    <row r="84" customFormat="false" ht="15" hidden="false" customHeight="false" outlineLevel="0" collapsed="false">
      <c r="A84" s="5" t="s">
        <v>1400</v>
      </c>
    </row>
    <row r="85" customFormat="false" ht="30" hidden="false" customHeight="true" outlineLevel="0" collapsed="false">
      <c r="A85" s="3" t="s">
        <v>1328</v>
      </c>
      <c r="B85" s="3" t="s">
        <v>1329</v>
      </c>
      <c r="C85" s="3"/>
    </row>
    <row r="86" customFormat="false" ht="15" hidden="false" customHeight="false" outlineLevel="0" collapsed="false">
      <c r="A86" s="4" t="s">
        <v>210</v>
      </c>
      <c r="B86" s="4" t="s">
        <v>1401</v>
      </c>
      <c r="C86" s="4"/>
    </row>
    <row r="87" customFormat="false" ht="15" hidden="false" customHeight="false" outlineLevel="0" collapsed="false">
      <c r="A87" s="4" t="s">
        <v>1402</v>
      </c>
      <c r="B87" s="4" t="s">
        <v>1403</v>
      </c>
      <c r="C87" s="4"/>
    </row>
    <row r="88" customFormat="false" ht="15" hidden="false" customHeight="false" outlineLevel="0" collapsed="false">
      <c r="A88" s="4" t="s">
        <v>758</v>
      </c>
      <c r="B88" s="4" t="s">
        <v>1404</v>
      </c>
      <c r="C88" s="4"/>
    </row>
    <row r="89" customFormat="false" ht="15" hidden="false" customHeight="false" outlineLevel="0" collapsed="false">
      <c r="A89" s="4" t="s">
        <v>34</v>
      </c>
      <c r="B89" s="4" t="s">
        <v>1339</v>
      </c>
      <c r="C89" s="4"/>
    </row>
    <row r="90" customFormat="false" ht="15" hidden="false" customHeight="false" outlineLevel="0" collapsed="false">
      <c r="A90" s="4" t="s">
        <v>50</v>
      </c>
      <c r="B90" s="4" t="s">
        <v>1405</v>
      </c>
      <c r="C90" s="4"/>
    </row>
    <row r="91" customFormat="false" ht="35.05" hidden="false" customHeight="false" outlineLevel="0" collapsed="false">
      <c r="A91" s="4" t="s">
        <v>1355</v>
      </c>
      <c r="B91" s="4" t="s">
        <v>1406</v>
      </c>
      <c r="C91" s="4"/>
    </row>
    <row r="92" customFormat="false" ht="15" hidden="false" customHeight="false" outlineLevel="0" collapsed="false">
      <c r="A92" s="4" t="s">
        <v>1407</v>
      </c>
      <c r="B92" s="4" t="s">
        <v>1356</v>
      </c>
      <c r="C92" s="4"/>
    </row>
    <row r="93" customFormat="false" ht="23.85" hidden="false" customHeight="false" outlineLevel="0" collapsed="false">
      <c r="A93" s="4" t="s">
        <v>53</v>
      </c>
      <c r="B93" s="4" t="s">
        <v>1408</v>
      </c>
      <c r="C93" s="4"/>
    </row>
    <row r="94" customFormat="false" ht="23.85" hidden="false" customHeight="false" outlineLevel="0" collapsed="false">
      <c r="A94" s="4" t="s">
        <v>1409</v>
      </c>
      <c r="B94" s="4" t="s">
        <v>1410</v>
      </c>
      <c r="C94" s="4"/>
    </row>
    <row r="95" customFormat="false" ht="15" hidden="false" customHeight="false" outlineLevel="0" collapsed="false">
      <c r="A95" s="4" t="s">
        <v>1411</v>
      </c>
      <c r="B95" s="4" t="s">
        <v>1412</v>
      </c>
      <c r="C95" s="4"/>
    </row>
    <row r="96" customFormat="false" ht="23.85" hidden="false" customHeight="false" outlineLevel="0" collapsed="false">
      <c r="A96" s="4" t="s">
        <v>1413</v>
      </c>
      <c r="B96" s="4" t="s">
        <v>1414</v>
      </c>
      <c r="C96" s="4"/>
    </row>
    <row r="97" customFormat="false" ht="15" hidden="false" customHeight="false" outlineLevel="0" collapsed="false">
      <c r="A97" s="4" t="s">
        <v>1415</v>
      </c>
      <c r="B97" s="4" t="s">
        <v>902</v>
      </c>
      <c r="C97" s="4"/>
    </row>
    <row r="98" customFormat="false" ht="46.25" hidden="false" customHeight="false" outlineLevel="0" collapsed="false">
      <c r="A98" s="4" t="s">
        <v>1416</v>
      </c>
      <c r="B98" s="4" t="s">
        <v>1417</v>
      </c>
      <c r="C98" s="4"/>
    </row>
    <row r="99" customFormat="false" ht="23.85" hidden="false" customHeight="false" outlineLevel="0" collapsed="false">
      <c r="A99" s="4" t="s">
        <v>1418</v>
      </c>
      <c r="B99" s="4" t="s">
        <v>1419</v>
      </c>
      <c r="C99" s="4"/>
    </row>
    <row r="100" customFormat="false" ht="23.85" hidden="false" customHeight="false" outlineLevel="0" collapsed="false">
      <c r="A100" s="4" t="s">
        <v>1420</v>
      </c>
      <c r="B100" s="4" t="s">
        <v>1421</v>
      </c>
      <c r="C100" s="4"/>
    </row>
    <row r="101" customFormat="false" ht="15" hidden="false" customHeight="false" outlineLevel="0" collapsed="false">
      <c r="A101" s="4" t="s">
        <v>1422</v>
      </c>
      <c r="B101" s="4" t="s">
        <v>1348</v>
      </c>
      <c r="C101" s="4"/>
    </row>
    <row r="102" customFormat="false" ht="23.85" hidden="false" customHeight="false" outlineLevel="0" collapsed="false">
      <c r="A102" s="4" t="s">
        <v>929</v>
      </c>
      <c r="B102" s="4" t="s">
        <v>1423</v>
      </c>
      <c r="C102" s="4"/>
    </row>
    <row r="103" customFormat="false" ht="15" hidden="false" customHeight="false" outlineLevel="0" collapsed="false">
      <c r="A103" s="4" t="s">
        <v>1424</v>
      </c>
      <c r="B103" s="4" t="s">
        <v>1425</v>
      </c>
      <c r="C103" s="4"/>
    </row>
    <row r="104" customFormat="false" ht="15" hidden="false" customHeight="false" outlineLevel="0" collapsed="false">
      <c r="A104" s="4" t="s">
        <v>1426</v>
      </c>
      <c r="B104" s="4" t="s">
        <v>1425</v>
      </c>
      <c r="C104" s="4"/>
    </row>
    <row r="106" customFormat="false" ht="30" hidden="false" customHeight="true" outlineLevel="0" collapsed="false">
      <c r="A106" s="3" t="s">
        <v>1427</v>
      </c>
      <c r="B106" s="3"/>
      <c r="C106" s="3" t="s">
        <v>1364</v>
      </c>
    </row>
    <row r="107" customFormat="false" ht="15" hidden="false" customHeight="false" outlineLevel="0" collapsed="false">
      <c r="A107" s="4" t="s">
        <v>1428</v>
      </c>
      <c r="B107" s="4"/>
      <c r="C107" s="4" t="s">
        <v>1429</v>
      </c>
    </row>
    <row r="108" customFormat="false" ht="15" hidden="false" customHeight="false" outlineLevel="0" collapsed="false">
      <c r="A108" s="4" t="s">
        <v>1430</v>
      </c>
      <c r="B108" s="4"/>
      <c r="C108" s="4" t="s">
        <v>1431</v>
      </c>
    </row>
    <row r="109" customFormat="false" ht="15" hidden="false" customHeight="false" outlineLevel="0" collapsed="false">
      <c r="A109" s="4" t="s">
        <v>1432</v>
      </c>
      <c r="B109" s="4"/>
      <c r="C109" s="4" t="s">
        <v>1433</v>
      </c>
    </row>
    <row r="111" customFormat="false" ht="15" hidden="false" customHeight="false" outlineLevel="0" collapsed="false">
      <c r="A111" s="5" t="s">
        <v>1434</v>
      </c>
    </row>
    <row r="112" customFormat="false" ht="30" hidden="false" customHeight="true" outlineLevel="0" collapsed="false">
      <c r="A112" s="8" t="s">
        <v>1435</v>
      </c>
      <c r="B112" s="8" t="s">
        <v>1436</v>
      </c>
      <c r="C112" s="8" t="s">
        <v>1437</v>
      </c>
    </row>
    <row r="113" customFormat="false" ht="23.85" hidden="false" customHeight="false" outlineLevel="0" collapsed="false">
      <c r="A113" s="4" t="s">
        <v>1438</v>
      </c>
      <c r="B113" s="4" t="s">
        <v>1439</v>
      </c>
      <c r="C113" s="4" t="s">
        <v>1440</v>
      </c>
    </row>
    <row r="114" customFormat="false" ht="46.25" hidden="false" customHeight="false" outlineLevel="0" collapsed="false">
      <c r="A114" s="4" t="s">
        <v>1441</v>
      </c>
      <c r="B114" s="4" t="s">
        <v>1442</v>
      </c>
      <c r="C114" s="4" t="s">
        <v>1443</v>
      </c>
    </row>
    <row r="115" customFormat="false" ht="23.85" hidden="false" customHeight="false" outlineLevel="0" collapsed="false">
      <c r="A115" s="4" t="s">
        <v>1444</v>
      </c>
      <c r="B115" s="4" t="s">
        <v>1445</v>
      </c>
      <c r="C115" s="4" t="s">
        <v>1446</v>
      </c>
    </row>
    <row r="116" customFormat="false" ht="23.85" hidden="false" customHeight="false" outlineLevel="0" collapsed="false">
      <c r="A116" s="4" t="s">
        <v>1447</v>
      </c>
      <c r="B116" s="4" t="s">
        <v>1448</v>
      </c>
      <c r="C116" s="4" t="s">
        <v>1449</v>
      </c>
    </row>
    <row r="117" customFormat="false" ht="23.85" hidden="false" customHeight="false" outlineLevel="0" collapsed="false">
      <c r="A117" s="4" t="s">
        <v>1450</v>
      </c>
      <c r="B117" s="4" t="s">
        <v>1451</v>
      </c>
      <c r="C117" s="4" t="s">
        <v>1452</v>
      </c>
    </row>
    <row r="118" customFormat="false" ht="23.85" hidden="false" customHeight="false" outlineLevel="0" collapsed="false">
      <c r="A118" s="4" t="s">
        <v>1453</v>
      </c>
      <c r="B118" s="4" t="s">
        <v>1454</v>
      </c>
      <c r="C118" s="4" t="s">
        <v>1455</v>
      </c>
    </row>
    <row r="119" customFormat="false" ht="79.85" hidden="false" customHeight="false" outlineLevel="0" collapsed="false">
      <c r="A119" s="4" t="s">
        <v>1456</v>
      </c>
      <c r="B119" s="4" t="s">
        <v>1457</v>
      </c>
      <c r="C119" s="4" t="s">
        <v>1458</v>
      </c>
    </row>
    <row r="120" customFormat="false" ht="23.85" hidden="false" customHeight="false" outlineLevel="0" collapsed="false">
      <c r="A120" s="4" t="s">
        <v>1459</v>
      </c>
      <c r="B120" s="4" t="s">
        <v>1460</v>
      </c>
      <c r="C120" s="4" t="s">
        <v>1461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7A"/>
    <pageSetUpPr fitToPage="false"/>
  </sheetPr>
  <dimension ref="A1:G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7"/>
    <col collapsed="false" customWidth="true" hidden="false" outlineLevel="0" max="3" min="3" style="0" width="38"/>
    <col collapsed="false" customWidth="true" hidden="false" outlineLevel="0" max="4" min="4" style="0" width="9"/>
    <col collapsed="false" customWidth="true" hidden="false" outlineLevel="0" max="5" min="5" style="0" width="34"/>
    <col collapsed="false" customWidth="true" hidden="false" outlineLevel="0" max="6" min="6" style="0" width="8"/>
    <col collapsed="false" customWidth="true" hidden="false" outlineLevel="0" max="7" min="7" style="0" width="32"/>
  </cols>
  <sheetData>
    <row r="1" customFormat="false" ht="17.35" hidden="false" customHeight="false" outlineLevel="0" collapsed="false">
      <c r="A1" s="1" t="s">
        <v>1462</v>
      </c>
    </row>
    <row r="2" customFormat="false" ht="15" hidden="false" customHeight="false" outlineLevel="0" collapsed="false">
      <c r="A2" s="2" t="s">
        <v>1463</v>
      </c>
    </row>
    <row r="4" customFormat="false" ht="30" hidden="false" customHeight="true" outlineLevel="0" collapsed="false">
      <c r="A4" s="3" t="s">
        <v>1464</v>
      </c>
      <c r="B4" s="3" t="s">
        <v>349</v>
      </c>
      <c r="C4" s="3" t="s">
        <v>211</v>
      </c>
      <c r="D4" s="3" t="s">
        <v>1465</v>
      </c>
      <c r="E4" s="3" t="s">
        <v>1466</v>
      </c>
      <c r="F4" s="3" t="s">
        <v>1162</v>
      </c>
      <c r="G4" s="3" t="s">
        <v>1162</v>
      </c>
    </row>
    <row r="5" customFormat="false" ht="15" hidden="false" customHeight="false" outlineLevel="0" collapsed="false">
      <c r="A5" s="4" t="s">
        <v>1467</v>
      </c>
      <c r="B5" s="15" t="n">
        <v>2</v>
      </c>
      <c r="C5" s="4" t="s">
        <v>1468</v>
      </c>
      <c r="D5" s="15" t="n">
        <v>2</v>
      </c>
      <c r="E5" s="4" t="s">
        <v>1469</v>
      </c>
      <c r="F5" s="15" t="n">
        <v>1</v>
      </c>
      <c r="G5" s="4" t="s">
        <v>1470</v>
      </c>
    </row>
    <row r="6" customFormat="false" ht="15" hidden="false" customHeight="false" outlineLevel="0" collapsed="false">
      <c r="A6" s="4" t="s">
        <v>1471</v>
      </c>
      <c r="B6" s="15" t="n">
        <v>2</v>
      </c>
      <c r="C6" s="4" t="s">
        <v>1472</v>
      </c>
      <c r="D6" s="15" t="n">
        <v>1</v>
      </c>
      <c r="E6" s="4" t="s">
        <v>1473</v>
      </c>
      <c r="F6" s="15" t="n">
        <v>1</v>
      </c>
      <c r="G6" s="4" t="s">
        <v>1474</v>
      </c>
    </row>
    <row r="7" customFormat="false" ht="15" hidden="false" customHeight="false" outlineLevel="0" collapsed="false">
      <c r="A7" s="4" t="s">
        <v>1475</v>
      </c>
      <c r="B7" s="15" t="n">
        <v>2</v>
      </c>
      <c r="C7" s="4" t="s">
        <v>1476</v>
      </c>
      <c r="D7" s="15" t="n">
        <v>2</v>
      </c>
      <c r="E7" s="4" t="s">
        <v>1477</v>
      </c>
      <c r="F7" s="15" t="n">
        <v>0</v>
      </c>
      <c r="G7" s="4" t="s">
        <v>1478</v>
      </c>
    </row>
    <row r="8" customFormat="false" ht="15" hidden="false" customHeight="false" outlineLevel="0" collapsed="false">
      <c r="A8" s="4" t="s">
        <v>1479</v>
      </c>
      <c r="B8" s="15" t="n">
        <v>2</v>
      </c>
      <c r="C8" s="4" t="s">
        <v>1480</v>
      </c>
      <c r="D8" s="15" t="n">
        <v>1</v>
      </c>
      <c r="E8" s="4" t="s">
        <v>1481</v>
      </c>
      <c r="F8" s="15" t="n">
        <v>1</v>
      </c>
      <c r="G8" s="4" t="s">
        <v>1481</v>
      </c>
    </row>
    <row r="9" customFormat="false" ht="15" hidden="false" customHeight="false" outlineLevel="0" collapsed="false">
      <c r="A9" s="4" t="s">
        <v>1482</v>
      </c>
      <c r="B9" s="15" t="n">
        <v>0</v>
      </c>
      <c r="C9" s="4" t="s">
        <v>1483</v>
      </c>
      <c r="D9" s="15" t="n">
        <v>2</v>
      </c>
      <c r="E9" s="4" t="s">
        <v>1484</v>
      </c>
      <c r="F9" s="15" t="n">
        <v>1</v>
      </c>
      <c r="G9" s="4" t="s">
        <v>1484</v>
      </c>
    </row>
    <row r="10" customFormat="false" ht="15" hidden="false" customHeight="false" outlineLevel="0" collapsed="false">
      <c r="A10" s="4" t="s">
        <v>1485</v>
      </c>
      <c r="B10" s="15" t="n">
        <v>2</v>
      </c>
      <c r="C10" s="4" t="s">
        <v>1486</v>
      </c>
      <c r="D10" s="15" t="n">
        <v>0</v>
      </c>
      <c r="E10" s="4" t="s">
        <v>1487</v>
      </c>
      <c r="F10" s="15" t="n">
        <v>2</v>
      </c>
      <c r="G10" s="4" t="s">
        <v>1488</v>
      </c>
    </row>
    <row r="11" customFormat="false" ht="15" hidden="false" customHeight="false" outlineLevel="0" collapsed="false">
      <c r="A11" s="4" t="s">
        <v>1489</v>
      </c>
      <c r="B11" s="15" t="n">
        <v>0</v>
      </c>
      <c r="C11" s="4" t="s">
        <v>1490</v>
      </c>
      <c r="D11" s="15" t="n">
        <v>2</v>
      </c>
      <c r="E11" s="4" t="s">
        <v>1491</v>
      </c>
      <c r="F11" s="15" t="n">
        <v>2</v>
      </c>
      <c r="G11" s="4" t="s">
        <v>1491</v>
      </c>
    </row>
    <row r="12" customFormat="false" ht="15" hidden="false" customHeight="false" outlineLevel="0" collapsed="false">
      <c r="A12" s="19" t="s">
        <v>1492</v>
      </c>
      <c r="B12" s="20" t="n">
        <f aca="false">SUM(B5:B11)</f>
        <v>10</v>
      </c>
      <c r="C12" s="19"/>
      <c r="D12" s="20" t="n">
        <f aca="false">SUM(D5:D11)</f>
        <v>10</v>
      </c>
      <c r="E12" s="19"/>
      <c r="F12" s="20" t="n">
        <f aca="false">SUM(F5:F11)</f>
        <v>8</v>
      </c>
      <c r="G12" s="1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2026-10-29T18:36:25Z</dcterms:created>
  <dc:creator>openpyxl</dc:creator>
  <dc:description/>
  <dc:language>en-US</dc:language>
  <cp:lastModifiedBy/>
  <dcterms:modified xsi:type="dcterms:W3CDTF">2026-10-29T18:36:25Z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