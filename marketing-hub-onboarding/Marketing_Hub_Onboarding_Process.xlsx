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oadmap" sheetId="2" state="visible" r:id="rId4"/>
    <sheet name="Task Template" sheetId="3" state="visible" r:id="rId5"/>
    <sheet name="Intake Form" sheetId="4" state="visible" r:id="rId6"/>
    <sheet name="Tech Setup" sheetId="5" state="visible" r:id="rId7"/>
    <sheet name="Training" sheetId="6" state="visible" r:id="rId8"/>
    <sheet name="Comms" sheetId="7" state="visible" r:id="rId9"/>
    <sheet name="Tool Fit" sheetId="8" state="visible" r:id="rId10"/>
    <sheet name="HubSpot Build Spec" sheetId="9" state="visible" r:id="rId11"/>
    <sheet name="Open Questions" sheetId="10" state="visible" r:id="rId12"/>
  </sheets>
  <definedNames>
    <definedName function="false" hidden="true" localSheetId="6" name="_xlnm._FilterDatabase" vbProcedure="false">Comms!$A$4:$E$17</definedName>
    <definedName function="false" hidden="true" localSheetId="8" name="_xlnm._FilterDatabase" vbProcedure="false">'HubSpot Build Spec'!$A$4:$C$23</definedName>
    <definedName function="false" hidden="true" localSheetId="3" name="_xlnm._FilterDatabase" vbProcedure="false">'Intake Form'!$A$4:$G$29</definedName>
    <definedName function="false" hidden="true" localSheetId="9" name="_xlnm._FilterDatabase" vbProcedure="false">'Open Questions'!$A$4:$E$15</definedName>
    <definedName function="false" hidden="true" localSheetId="2" name="_xlnm._FilterDatabase" vbProcedure="false">'Task Template'!$A$6:$L$83</definedName>
    <definedName function="false" hidden="true" localSheetId="4" name="_xlnm._FilterDatabase" vbProcedure="false">'Tech Setup'!$A$4:$F$44</definedName>
    <definedName function="false" hidden="true" localSheetId="5" name="_xlnm._FilterDatabase" vbProcedure="false">Training!$A$4:$F$13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<sst xmlns="http://schemas.openxmlformats.org/spreadsheetml/2006/main" count="1534" uniqueCount="887">
  <si>
    <t xml:space="preserve">RevGravy · Marketing Hub Onboarding Process (draft v1)</t>
  </si>
  <si>
    <t xml:space="preserve">Built from the FigJam session. Day 0 = deal reaches 'Start Payment Received'. Program assumed to be 90 days.</t>
  </si>
  <si>
    <t xml:space="preserve">Tab</t>
  </si>
  <si>
    <t xml:space="preserve">What's in it</t>
  </si>
  <si>
    <t xml:space="preserve">Roadmap</t>
  </si>
  <si>
    <t xml:space="preserve">Phases on a week-by-week timeline, mapped to the FigJam stickies.</t>
  </si>
  <si>
    <t xml:space="preserve">Task Template</t>
  </si>
  <si>
    <t xml:space="preserve">Every task: owner, client-facing or not, start/due day, dependency, where it lives in HubSpot, automation.</t>
  </si>
  <si>
    <t xml:space="preserve">Intake Form</t>
  </si>
  <si>
    <t xml:space="preserve">What we ask the customer after the sale (only what pre-sale didn't capture).</t>
  </si>
  <si>
    <t xml:space="preserve">Tech Setup</t>
  </si>
  <si>
    <t xml:space="preserve">Marketing Hub technical setup checklist with Starter / Pro / Enterprise flags.</t>
  </si>
  <si>
    <t xml:space="preserve">Training</t>
  </si>
  <si>
    <t xml:space="preserve">Training modules by audience and timing.</t>
  </si>
  <si>
    <t xml:space="preserve">Comms</t>
  </si>
  <si>
    <t xml:space="preserve">Every customer touchpoint, including the weekly update template.</t>
  </si>
  <si>
    <t xml:space="preserve">Tool Fit</t>
  </si>
  <si>
    <t xml:space="preserve">HubSpot Work vs Projects vs Tickets scoring and the recommendation.</t>
  </si>
  <si>
    <t xml:space="preserve">HubSpot Build Spec</t>
  </si>
  <si>
    <t xml:space="preserve">Pipelines, properties, workflows and the HubSpot Work workspace to build.</t>
  </si>
  <si>
    <t xml:space="preserve">Open Questions</t>
  </si>
  <si>
    <t xml:space="preserve">Decisions needed from you / your boss. Yellow cells are for answers.</t>
  </si>
  <si>
    <t xml:space="preserve">Role</t>
  </si>
  <si>
    <t xml:space="preserve">Responsibility</t>
  </si>
  <si>
    <t xml:space="preserve">Phil</t>
  </si>
  <si>
    <t xml:space="preserve">Strategy lead. Owns the sale, the Architect handoff, MBR strategy and the 'what's next' conversation.</t>
  </si>
  <si>
    <t xml:space="preserve">Architect</t>
  </si>
  <si>
    <t xml:space="preserve">Assigned delivery lead. Owns the onboarding record, the build, weekly updates and office hours.</t>
  </si>
  <si>
    <t xml:space="preserve">Ops</t>
  </si>
  <si>
    <t xml:space="preserve">RevGravy operations/admin. Owns templates, Supered setup, data hygiene of the process itself.</t>
  </si>
  <si>
    <t xml:space="preserve">AI</t>
  </si>
  <si>
    <t xml:space="preserve">AI agent drafts (handoff brief, agendas, weekly updates). A human always reviews before anything is sent.</t>
  </si>
  <si>
    <t xml:space="preserve">Automation</t>
  </si>
  <si>
    <t xml:space="preserve">HubSpot workflow, no human action needed.</t>
  </si>
  <si>
    <t xml:space="preserve">Client POC</t>
  </si>
  <si>
    <t xml:space="preserve">Main point of contact at the customer. Owns approvals, access and client to-dos.</t>
  </si>
  <si>
    <t xml:space="preserve">Client team</t>
  </si>
  <si>
    <t xml:space="preserve">Supporters / end users at the customer who get trained and use the portal.</t>
  </si>
  <si>
    <t xml:space="preserve">Legend</t>
  </si>
  <si>
    <t xml:space="preserve">Yellow cell</t>
  </si>
  <si>
    <t xml:space="preserve">Edit me: assumptions and answers you should confirm or change.</t>
  </si>
  <si>
    <t xml:space="preserve">■ in Roadmap</t>
  </si>
  <si>
    <t xml:space="preserve">Calculated from the Start/End day columns. Change the days and the bars move.</t>
  </si>
  <si>
    <t xml:space="preserve">Rows 4–5 hold each week's day range (small grey numbers). Bars are formulas on Start/End day.</t>
  </si>
  <si>
    <t xml:space="preserve">Phase</t>
  </si>
  <si>
    <t xml:space="preserve">Name</t>
  </si>
  <si>
    <t xml:space="preserve">FigJam stage(s)</t>
  </si>
  <si>
    <t xml:space="preserve">Start day</t>
  </si>
  <si>
    <t xml:space="preserve">End day</t>
  </si>
  <si>
    <t xml:space="preserve">Goal</t>
  </si>
  <si>
    <t xml:space="preserve">What the client sees</t>
  </si>
  <si>
    <t xml:space="preserve">Exit criteria</t>
  </si>
  <si>
    <t xml:space="preserve">Pre-sale</t>
  </si>
  <si>
    <t xml:space="preserve">W0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</si>
  <si>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</si>
  <si>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</si>
  <si>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</si>
  <si>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</si>
  <si>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</si>
  <si>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</si>
  <si>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</si>
  <si>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</si>
  <si>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</si>
  <si>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</si>
  <si>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</si>
  <si>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</si>
  <si>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90+</t>
  </si>
  <si>
    <t xml:space="preserve">P0</t>
  </si>
  <si>
    <t xml:space="preserve">Pre-sale handoff</t>
  </si>
  <si>
    <t xml:space="preserve">New Lead → VSL → Fit/Discovery → Assess Tech Stack → Video → Recommendation → Closing Call</t>
  </si>
  <si>
    <t xml:space="preserve">Everything the Architect needs is already on the deal before the customer pays (Definition of Ready).</t>
  </si>
  <si>
    <t xml:space="preserve">VSL, recommendation video, proposal Q&amp;A, quote, agreement.</t>
  </si>
  <si>
    <t xml:space="preserve">Deal has FigJam link, From→To statement, products, progress measures, survey, POC and supporters, signed agreement.</t>
  </si>
  <si>
    <t xml:space="preserve">P1</t>
  </si>
  <si>
    <t xml:space="preserve">Close &amp; welcome</t>
  </si>
  <si>
    <t xml:space="preserve">Paid &amp; Agreement Signed</t>
  </si>
  <si>
    <t xml:space="preserve">Customer feels the handoff instantly; the Architect is assigned and briefed within 72 hours.</t>
  </si>
  <si>
    <t xml:space="preserve">Welcome email series with the Supered Action Plan (expectations, next steps, links, agreement, to-dos).</t>
  </si>
  <si>
    <t xml:space="preserve">Architect assigned, Phil↔Architect 1:1 done, Delivery Template instantiated, kickoff booked.</t>
  </si>
  <si>
    <t xml:space="preserve">P2</t>
  </si>
  <si>
    <t xml:space="preserve">Access &amp; intake</t>
  </si>
  <si>
    <t xml:space="preserve">HS Access / Form / Trello</t>
  </si>
  <si>
    <t xml:space="preserve">Get every access and input we need in week 1, and replace Trello with HubSpot + Supered.</t>
  </si>
  <si>
    <t xml:space="preserve">Supered announcement explaining how we deliver announcements and documentation; one short intake form.</t>
  </si>
  <si>
    <t xml:space="preserve">Portal access granted, intake submitted, audit and baseline KPIs captured.</t>
  </si>
  <si>
    <t xml:space="preserve">P3</t>
  </si>
  <si>
    <t xml:space="preserve">Kickoff</t>
  </si>
  <si>
    <t xml:space="preserve">Kickoff Session 15 min</t>
  </si>
  <si>
    <t xml:space="preserve">15 minutes that confirm the plan, close gaps and set the operating rhythm.</t>
  </si>
  <si>
    <t xml:space="preserve">Architect + team intro, confirmed plan, office hours and MBRs explained, MBRs booked.</t>
  </si>
  <si>
    <t xml:space="preserve">Plan confirmed, missing items owned, MBR dates on calendars, recap sent within 24h.</t>
  </si>
  <si>
    <t xml:space="preserve">P4</t>
  </si>
  <si>
    <t xml:space="preserve">Foundations (tech setup)</t>
  </si>
  <si>
    <t xml:space="preserve">Delivery Template → technical setup</t>
  </si>
  <si>
    <t xml:space="preserve">Marketing Hub is set up correctly: tracking, domains, email auth, data model, imports, baseline reporting.</t>
  </si>
  <si>
    <t xml:space="preserve">Supered video announcements as each foundation item is done; weekly updates.</t>
  </si>
  <si>
    <t xml:space="preserve">Foundation QA passed and a baseline dashboard exists to report progress measures against.</t>
  </si>
  <si>
    <t xml:space="preserve">P5</t>
  </si>
  <si>
    <t xml:space="preserve">Build &amp; launch</t>
  </si>
  <si>
    <t xml:space="preserve">Tactical outcomes / Factories (progress measures)</t>
  </si>
  <si>
    <t xml:space="preserve">Ship the tactical outcomes the customer bought, each tied to a progress measure.</t>
  </si>
  <si>
    <t xml:space="preserve">Supered video per delivery, UAT sign-off requests, KPI movement in weekly updates.</t>
  </si>
  <si>
    <t xml:space="preserve">Every Factory in the Delivery Template is live, approved and reporting.</t>
  </si>
  <si>
    <t xml:space="preserve">P6</t>
  </si>
  <si>
    <t xml:space="preserve">Training &amp; adoption</t>
  </si>
  <si>
    <t xml:space="preserve">Office Hours / Supered videos</t>
  </si>
  <si>
    <t xml:space="preserve">The customer's team can run what we built without us.</t>
  </si>
  <si>
    <t xml:space="preserve">Short Supered training videos per delivery, office-hours coaching, an admin handbook.</t>
  </si>
  <si>
    <t xml:space="preserve">Each user role completed its modules; adoption check passed.</t>
  </si>
  <si>
    <t xml:space="preserve">P7</t>
  </si>
  <si>
    <t xml:space="preserve">Run cadence</t>
  </si>
  <si>
    <t xml:space="preserve">Office Hours + Weekly updates</t>
  </si>
  <si>
    <t xml:space="preserve">A predictable rhythm: office hours, Friday updates, monthly business reviews, managed requests.</t>
  </si>
  <si>
    <t xml:space="preserve">Weekly update (progress, tactical work → strategic issue, KPIs, issues found), office hours, MBRs.</t>
  </si>
  <si>
    <t xml:space="preserve">Runs every week until the program ends.</t>
  </si>
  <si>
    <t xml:space="preserve">P8</t>
  </si>
  <si>
    <t xml:space="preserve">What's next</t>
  </si>
  <si>
    <t xml:space="preserve">30 Days Before We Finish, Explain What's Next</t>
  </si>
  <si>
    <t xml:space="preserve">Customer sees the long-term vision and chooses the next phase before the program ends.</t>
  </si>
  <si>
    <t xml:space="preserve">'What's next' call with Phil and the Architect, A/B next-phase options, final results review.</t>
  </si>
  <si>
    <t xml:space="preserve">Next-phase decision made (A, B or offboard), results review delivered, project closed.</t>
  </si>
  <si>
    <t xml:space="preserve">P9</t>
  </si>
  <si>
    <t xml:space="preserve">Post-program</t>
  </si>
  <si>
    <t xml:space="preserve">Post-1st Program Offers + Goal: keep relationship 6–12 months</t>
  </si>
  <si>
    <t xml:space="preserve">Keep the relationship for 6–12 more months.</t>
  </si>
  <si>
    <t xml:space="preserve">6 months of free KPI monitoring, ongoing offers, quarterly check-ins.</t>
  </si>
  <si>
    <t xml:space="preserve">Customer on a continuation offer, or a clean offboarding with KPI monitoring running.</t>
  </si>
  <si>
    <t xml:space="preserve">One row per task. Duration and Gantt are formulas. Filter by Phase, Owner or Client-facing.</t>
  </si>
  <si>
    <t xml:space="preserve">ID</t>
  </si>
  <si>
    <t xml:space="preserve">Task</t>
  </si>
  <si>
    <t xml:space="preserve">Details / definition of done</t>
  </si>
  <si>
    <t xml:space="preserve">Owner</t>
  </si>
  <si>
    <t xml:space="preserve">Client-facing</t>
  </si>
  <si>
    <t xml:space="preserve">Due day</t>
  </si>
  <si>
    <t xml:space="preserve">Duration (days)</t>
  </si>
  <si>
    <t xml:space="preserve">Depends on</t>
  </si>
  <si>
    <t xml:space="preserve">Where it lives in HubSpot</t>
  </si>
  <si>
    <t xml:space="preserve">0.01</t>
  </si>
  <si>
    <t xml:space="preserve">P0 · Pre-sale handoff</t>
  </si>
  <si>
    <t xml:space="preserve">Research brief from company URL</t>
  </si>
  <si>
    <t xml:space="preserve">Website URL on the deal; AI research brief attached as a note before the Fit call.</t>
  </si>
  <si>
    <t xml:space="preserve">No</t>
  </si>
  <si>
    <t xml:space="preserve">Deal (note)</t>
  </si>
  <si>
    <t xml:space="preserve">AI agent drafts brief when deal is created</t>
  </si>
  <si>
    <t xml:space="preserve">0.02</t>
  </si>
  <si>
    <t xml:space="preserve">FigJam canvas created after Fit call</t>
  </si>
  <si>
    <t xml:space="preserve">Canvas covers strategic motivation, tactical outcomes, progress measures and fee range. Link saved to the deal and later copied to the onboarding record.</t>
  </si>
  <si>
    <t xml:space="preserve">Deal property: Canvas / FigJam Link</t>
  </si>
  <si>
    <t xml:space="preserve">0.03</t>
  </si>
  <si>
    <t xml:space="preserve">Strategic motivation captured ('From X to Y')</t>
  </si>
  <si>
    <t xml:space="preserve">One sentence: from where they are today to where they want to be. This is the north star the weekly updates tie back to.</t>
  </si>
  <si>
    <t xml:space="preserve">Deal property</t>
  </si>
  <si>
    <t xml:space="preserve">0.04</t>
  </si>
  <si>
    <t xml:space="preserve">Tech stack &amp; team capacity survey completed</t>
  </si>
  <si>
    <t xml:space="preserve">Client gives HubSpot access and completes the survey (form or AI chat): tools beyond HubSpot, internal processes and cadences, current KPIs and progress measures.</t>
  </si>
  <si>
    <t xml:space="preserve">Yes</t>
  </si>
  <si>
    <t xml:space="preserve">Form → Deal/Company properties</t>
  </si>
  <si>
    <t xml:space="preserve">Survey reminder email after 2 days</t>
  </si>
  <si>
    <t xml:space="preserve">0.05</t>
  </si>
  <si>
    <t xml:space="preserve">Products and quote on the deal</t>
  </si>
  <si>
    <t xml:space="preserve">Pricing calculator used; line items added; quote created.</t>
  </si>
  <si>
    <t xml:space="preserve">Deal line items + Quote</t>
  </si>
  <si>
    <t xml:space="preserve">0.06</t>
  </si>
  <si>
    <t xml:space="preserve">Progress measures defined</t>
  </si>
  <si>
    <t xml:space="preserve">Each tactical outcome has a progress measure (Factory) with a baseline if known.</t>
  </si>
  <si>
    <t xml:space="preserve">Deal note → Factory records after close</t>
  </si>
  <si>
    <t xml:space="preserve">0.07</t>
  </si>
  <si>
    <t xml:space="preserve">POC and supporters identified</t>
  </si>
  <si>
    <t xml:space="preserve">Contacts associated to the deal with association labels (POC, Supporter, Billing, Decision maker). POC enrolled in the weekly email.</t>
  </si>
  <si>
    <t xml:space="preserve">Contact ↔ Deal association labels</t>
  </si>
  <si>
    <t xml:space="preserve">0.08</t>
  </si>
  <si>
    <t xml:space="preserve">Agreement signed</t>
  </si>
  <si>
    <t xml:space="preserve">Includes AI terms, escalation path, how progress is measured, main POC and supporters, strategic job → tactical outcomes → progress measures, and new-request handling with urgency classification ($250).</t>
  </si>
  <si>
    <t xml:space="preserve">Quote / e-signature</t>
  </si>
  <si>
    <t xml:space="preserve">0.09</t>
  </si>
  <si>
    <t xml:space="preserve">Definition of Ready gate</t>
  </si>
  <si>
    <t xml:space="preserve">Deal cannot move to 'Start Payment Received' unless the required handoff properties are filled.</t>
  </si>
  <si>
    <t xml:space="preserve">Deal stage required properties</t>
  </si>
  <si>
    <t xml:space="preserve">Required properties on stage</t>
  </si>
  <si>
    <t xml:space="preserve">1.01</t>
  </si>
  <si>
    <t xml:space="preserve">P1 · Close &amp; welcome</t>
  </si>
  <si>
    <t xml:space="preserve">Create onboarding record</t>
  </si>
  <si>
    <t xml:space="preserve">Deal reaches 'Start Payment Received' → onboarding record created from the Marketing Hub template and associated to deal, company and contacts; deal context copied over.</t>
  </si>
  <si>
    <t xml:space="preserve">Onboarding record + workflow</t>
  </si>
  <si>
    <t xml:space="preserve">Deal-stage workflow</t>
  </si>
  <si>
    <t xml:space="preserve">1.02</t>
  </si>
  <si>
    <t xml:space="preserve">Assign Architect</t>
  </si>
  <si>
    <t xml:space="preserve">Phil picks the Architect (or rotation by capacity). Architect becomes owner of the onboarding record and company.</t>
  </si>
  <si>
    <t xml:space="preserve">Onboarding record owner</t>
  </si>
  <si>
    <t xml:space="preserve">Notify Phil if unassigned after 24h</t>
  </si>
  <si>
    <t xml:space="preserve">1.03</t>
  </si>
  <si>
    <t xml:space="preserve">Notify team with handoff brief</t>
  </si>
  <si>
    <t xml:space="preserve">Slack + HubSpot notification to the delivery team. AI drafts the brief from deal history, FigJam and survey.</t>
  </si>
  <si>
    <t xml:space="preserve">Slack + Note on onboarding record</t>
  </si>
  <si>
    <t xml:space="preserve">Workflow + AI agent</t>
  </si>
  <si>
    <t xml:space="preserve">1.04</t>
  </si>
  <si>
    <t xml:space="preserve">Welcome email #1: welcome + Action Plan</t>
  </si>
  <si>
    <t xml:space="preserve">Sent from Phil. Links to the Supered Action Plan: expectations, next steps, how the partnership works, agreement, client to-dos, kickoff booking link.</t>
  </si>
  <si>
    <t xml:space="preserve">Marketing email / sequence</t>
  </si>
  <si>
    <t xml:space="preserve">1.05</t>
  </si>
  <si>
    <t xml:space="preserve">Build Supered Action Plan from template</t>
  </si>
  <si>
    <t xml:space="preserve">Duplicate the Marketing Hub Action Plan template. Add the agreement, FigJam, client to-dos and access checklist.</t>
  </si>
  <si>
    <t xml:space="preserve">Supered</t>
  </si>
  <si>
    <t xml:space="preserve">1.06</t>
  </si>
  <si>
    <t xml:space="preserve">Instantiate Delivery Template</t>
  </si>
  <si>
    <t xml:space="preserve">Create one Factory (progress measure) record per tactical outcome bought, with benchmark, schedule and client to-dos.</t>
  </si>
  <si>
    <t xml:space="preserve">Factory records (Projects object)</t>
  </si>
  <si>
    <t xml:space="preserve">Optional: workflow creates Factories from line items</t>
  </si>
  <si>
    <t xml:space="preserve">1.07</t>
  </si>
  <si>
    <t xml:space="preserve">Set internal progress measures</t>
  </si>
  <si>
    <t xml:space="preserve">Planned end date, hours budget, health = On track, next MBR date.</t>
  </si>
  <si>
    <t xml:space="preserve">Onboarding record properties</t>
  </si>
  <si>
    <t xml:space="preserve">1.08</t>
  </si>
  <si>
    <t xml:space="preserve">Phil ↔ Architect 1:1 handoff (30 min)</t>
  </si>
  <si>
    <t xml:space="preserve">Walk through FigJam, customer context, products chosen, the goal, outcomes, how success is measured (KPIs), the Delivery Template and schedule.</t>
  </si>
  <si>
    <t xml:space="preserve">Meeting on onboarding record</t>
  </si>
  <si>
    <t xml:space="preserve">Task auto-created for Phil</t>
  </si>
  <si>
    <t xml:space="preserve">1.09</t>
  </si>
  <si>
    <t xml:space="preserve">Office hours booking link ready</t>
  </si>
  <si>
    <t xml:space="preserve">Architect's HubSpot Meetings link (office-hours type) added to the Supered plan.</t>
  </si>
  <si>
    <t xml:space="preserve">HubSpot Meetings</t>
  </si>
  <si>
    <t xml:space="preserve">1.10</t>
  </si>
  <si>
    <t xml:space="preserve">Welcome email #2: how we work</t>
  </si>
  <si>
    <t xml:space="preserve">Office hours, weekly updates, how to request work and the urgency classes, escalation path, how we use AI.</t>
  </si>
  <si>
    <t xml:space="preserve">Delay 2 days</t>
  </si>
  <si>
    <t xml:space="preserve">1.11</t>
  </si>
  <si>
    <t xml:space="preserve">Kickoff booked</t>
  </si>
  <si>
    <t xml:space="preserve">Client books the 15-minute kickoff via the link in welcome email #1. Reminder at Day 3 if not booked.</t>
  </si>
  <si>
    <t xml:space="preserve">Meeting</t>
  </si>
  <si>
    <t xml:space="preserve">Reminder if no meeting by Day 3</t>
  </si>
  <si>
    <t xml:space="preserve">2.01</t>
  </si>
  <si>
    <t xml:space="preserve">P2 · Access &amp; intake</t>
  </si>
  <si>
    <t xml:space="preserve">HubSpot access granted</t>
  </si>
  <si>
    <t xml:space="preserve">Partner access or a Super Admin user for the Architect. Confirm the hub tiers (Marketing Starter / Pro / Enterprise).</t>
  </si>
  <si>
    <t xml:space="preserve">Client to-do in Supered</t>
  </si>
  <si>
    <t xml:space="preserve">Reminder on Day 3</t>
  </si>
  <si>
    <t xml:space="preserve">2.02</t>
  </si>
  <si>
    <t xml:space="preserve">Onboarding intake form submitted</t>
  </si>
  <si>
    <t xml:space="preserve">Short form that asks only what pre-sale didn't capture (see Intake Form tab).</t>
  </si>
  <si>
    <t xml:space="preserve">Form → onboarding record</t>
  </si>
  <si>
    <t xml:space="preserve">Reminder on Day 4</t>
  </si>
  <si>
    <t xml:space="preserve">2.03</t>
  </si>
  <si>
    <t xml:space="preserve">Access to connected systems</t>
  </si>
  <si>
    <t xml:space="preserve">DNS/IT contact, website CMS, GA4/GTM, ad accounts, social accounts, any CRM or email tool we migrate from.</t>
  </si>
  <si>
    <t xml:space="preserve">Access checklist (intake)</t>
  </si>
  <si>
    <t xml:space="preserve">2.04</t>
  </si>
  <si>
    <t xml:space="preserve">Brand &amp; content assets shared</t>
  </si>
  <si>
    <t xml:space="preserve">Brand guide, logos, fonts, colors, existing email templates, key content, lists to import.</t>
  </si>
  <si>
    <t xml:space="preserve">File upload on intake form</t>
  </si>
  <si>
    <t xml:space="preserve">2.05</t>
  </si>
  <si>
    <t xml:space="preserve">Supered announcement to POC</t>
  </si>
  <si>
    <t xml:space="preserve">Short video: how Supered works (Bases, announcements, documentation) and where updates will show up.</t>
  </si>
  <si>
    <t xml:space="preserve">2.06</t>
  </si>
  <si>
    <t xml:space="preserve">Portal audit (current state)</t>
  </si>
  <si>
    <t xml:space="preserve">Data health, email health, existing assets, tracking code, workflows, properties. Output: 1-page audit summary for kickoff.</t>
  </si>
  <si>
    <t xml:space="preserve">Note on onboarding record</t>
  </si>
  <si>
    <t xml:space="preserve">AI can draft from portal scan</t>
  </si>
  <si>
    <t xml:space="preserve">2.07</t>
  </si>
  <si>
    <t xml:space="preserve">Baseline KPI snapshot</t>
  </si>
  <si>
    <t xml:space="preserve">Record the 'before' numbers for each progress measure (sessions, leads, MQLs, meetings, etc.).</t>
  </si>
  <si>
    <t xml:space="preserve">Factory records: baseline</t>
  </si>
  <si>
    <t xml:space="preserve">2.08</t>
  </si>
  <si>
    <t xml:space="preserve">No Trello</t>
  </si>
  <si>
    <t xml:space="preserve">All delivery work lives in HubSpot (tasks on the onboarding record) and client-facing docs in Supered. Architect owns this.</t>
  </si>
  <si>
    <t xml:space="preserve">Policy</t>
  </si>
  <si>
    <t xml:space="preserve">3.01</t>
  </si>
  <si>
    <t xml:space="preserve">P3 · Kickoff</t>
  </si>
  <si>
    <t xml:space="preserve">Kickoff agenda drafted</t>
  </si>
  <si>
    <t xml:space="preserve">AI drafts from intake + audit: plan summary, missing items, decisions needed. Architect edits.</t>
  </si>
  <si>
    <t xml:space="preserve">2.02, 2.06</t>
  </si>
  <si>
    <t xml:space="preserve">Doc / note</t>
  </si>
  <si>
    <t xml:space="preserve">3.02</t>
  </si>
  <si>
    <t xml:space="preserve">Kickoff session (15 min)</t>
  </si>
  <si>
    <t xml:space="preserve">Architect &amp; team intro; confirm goal and 90-day plan; walk through missing items; explain office hours, weekly updates, MBRs and request process.</t>
  </si>
  <si>
    <t xml:space="preserve">3.03</t>
  </si>
  <si>
    <t xml:space="preserve">Book MBRs and the 'what's next' call</t>
  </si>
  <si>
    <t xml:space="preserve">MBR #1 ≈ Day 30, MBR #2 ≈ Day 60 (includes what's next), final results review ≈ Day 85.</t>
  </si>
  <si>
    <t xml:space="preserve">Meetings</t>
  </si>
  <si>
    <t xml:space="preserve">3.04</t>
  </si>
  <si>
    <t xml:space="preserve">Kickoff recap within 24h</t>
  </si>
  <si>
    <t xml:space="preserve">AI drafts the recap; Architect sends. Supered plan updated with confirmed schedule and client to-dos.</t>
  </si>
  <si>
    <t xml:space="preserve">Email + Supered</t>
  </si>
  <si>
    <t xml:space="preserve">3.05</t>
  </si>
  <si>
    <t xml:space="preserve">Move onboarding to Foundations</t>
  </si>
  <si>
    <t xml:space="preserve">Stage = Foundations, health set.</t>
  </si>
  <si>
    <t xml:space="preserve">Onboarding pipeline stage</t>
  </si>
  <si>
    <t xml:space="preserve">4.01</t>
  </si>
  <si>
    <t xml:space="preserve">P4 · Foundations (tech setup)</t>
  </si>
  <si>
    <t xml:space="preserve">Account settings, users &amp; permissions</t>
  </si>
  <si>
    <t xml:space="preserve">Users, teams, permission sets, 2FA, account defaults, brands/business units if relevant.</t>
  </si>
  <si>
    <t xml:space="preserve">Tech Setup tab</t>
  </si>
  <si>
    <t xml:space="preserve">4.02</t>
  </si>
  <si>
    <t xml:space="preserve">Tracking code &amp; consent</t>
  </si>
  <si>
    <t xml:space="preserve">Tracking code on every site domain, internal IPs excluded, cookie consent banner configured.</t>
  </si>
  <si>
    <t xml:space="preserve">4.03</t>
  </si>
  <si>
    <t xml:space="preserve">Domains &amp; email authentication</t>
  </si>
  <si>
    <t xml:space="preserve">Connect landing page / blog domains; authenticate the email sending domain (SPF, DKIM, DMARC). Needs client DNS contact.</t>
  </si>
  <si>
    <t xml:space="preserve">4.04</t>
  </si>
  <si>
    <t xml:space="preserve">Email foundations</t>
  </si>
  <si>
    <t xml:space="preserve">Subscription types, footer and office address, brand kit, email templates, default sender.</t>
  </si>
  <si>
    <t xml:space="preserve">4.05</t>
  </si>
  <si>
    <t xml:space="preserve">Data model</t>
  </si>
  <si>
    <t xml:space="preserve">Property audit, custom properties, lifecycle stage definitions, lead status, marketing-contact rules.</t>
  </si>
  <si>
    <t xml:space="preserve">4.06</t>
  </si>
  <si>
    <t xml:space="preserve">Data import &amp; cleanup</t>
  </si>
  <si>
    <t xml:space="preserve">Import contacts/companies, dedupe, associations, set marketing contacts.</t>
  </si>
  <si>
    <t xml:space="preserve">4.07</t>
  </si>
  <si>
    <t xml:space="preserve">Integrations</t>
  </si>
  <si>
    <t xml:space="preserve">Website forms, GA4, ad accounts, social, webinar/Zoom, Slack, CRM sync if the CRM isn't HubSpot.</t>
  </si>
  <si>
    <t xml:space="preserve">4.08</t>
  </si>
  <si>
    <t xml:space="preserve">Baseline progress dashboard</t>
  </si>
  <si>
    <t xml:space="preserve">Dashboard with one report per progress measure, so weekly updates can show KPIs.</t>
  </si>
  <si>
    <t xml:space="preserve">HubSpot dashboard</t>
  </si>
  <si>
    <t xml:space="preserve">4.09</t>
  </si>
  <si>
    <t xml:space="preserve">Foundation QA</t>
  </si>
  <si>
    <t xml:space="preserve">Test tracking, a test email (deliverability + rendering), test form submission end to end.</t>
  </si>
  <si>
    <t xml:space="preserve">4.02, 4.03, 4.04</t>
  </si>
  <si>
    <t xml:space="preserve">QA checklist</t>
  </si>
  <si>
    <t xml:space="preserve">4.10</t>
  </si>
  <si>
    <t xml:space="preserve">Supered announcement: foundations done</t>
  </si>
  <si>
    <t xml:space="preserve">Short video: what changed for you and why it matters.</t>
  </si>
  <si>
    <t xml:space="preserve">5.01</t>
  </si>
  <si>
    <t xml:space="preserve">P5 · Build &amp; launch</t>
  </si>
  <si>
    <t xml:space="preserve">Lead capture</t>
  </si>
  <si>
    <t xml:space="preserve">Forms, CTAs/pop-ups, landing pages, thank-you pages, meetings link.</t>
  </si>
  <si>
    <t xml:space="preserve">Factory: Visitor → Lead</t>
  </si>
  <si>
    <t xml:space="preserve">5.02</t>
  </si>
  <si>
    <t xml:space="preserve">Segmentation</t>
  </si>
  <si>
    <t xml:space="preserve">Segments by persona, lifecycle and engagement; suppression lists.</t>
  </si>
  <si>
    <t xml:space="preserve">Factory</t>
  </si>
  <si>
    <t xml:space="preserve">5.03</t>
  </si>
  <si>
    <t xml:space="preserve">Lead nurture</t>
  </si>
  <si>
    <t xml:space="preserve">Nurture workflows and emails per persona/offer. Client approves copy.</t>
  </si>
  <si>
    <t xml:space="preserve">5.01, 5.02</t>
  </si>
  <si>
    <t xml:space="preserve">Factory: Lead → MQL</t>
  </si>
  <si>
    <t xml:space="preserve">5.04</t>
  </si>
  <si>
    <t xml:space="preserve">Lifecycle automation &amp; MQL handoff</t>
  </si>
  <si>
    <t xml:space="preserve">Lead scoring (Pro+), MQL criteria, owner assignment, sales notifications, follow-up SLA.</t>
  </si>
  <si>
    <t xml:space="preserve">Factory: MQL → Meeting</t>
  </si>
  <si>
    <t xml:space="preserve">5.05</t>
  </si>
  <si>
    <t xml:space="preserve">First campaign live</t>
  </si>
  <si>
    <t xml:space="preserve">Campaign object, UTMs, assets associated, launched with the client.</t>
  </si>
  <si>
    <t xml:space="preserve">5.01, 5.03</t>
  </si>
  <si>
    <t xml:space="preserve">5.06</t>
  </si>
  <si>
    <t xml:space="preserve">Ads &amp; social</t>
  </si>
  <si>
    <t xml:space="preserve">Connect ad accounts, conversion events, audiences (Pro+), social publishing.</t>
  </si>
  <si>
    <t xml:space="preserve">5.07</t>
  </si>
  <si>
    <t xml:space="preserve">Performance reporting</t>
  </si>
  <si>
    <t xml:space="preserve">Marketing performance dashboard, funnel by progress measure, attribution (Pro/Ent).</t>
  </si>
  <si>
    <t xml:space="preserve">5.08</t>
  </si>
  <si>
    <t xml:space="preserve">AI / Breeze configuration</t>
  </si>
  <si>
    <t xml:space="preserve">Brand voice, content tools and agents, only within the AI terms in the agreement.</t>
  </si>
  <si>
    <t xml:space="preserve">5.09</t>
  </si>
  <si>
    <t xml:space="preserve">UAT &amp; go-live per Factory</t>
  </si>
  <si>
    <t xml:space="preserve">Client reviews and approves each delivery; Factory moves to Done.</t>
  </si>
  <si>
    <t xml:space="preserve">5.01–5.08</t>
  </si>
  <si>
    <t xml:space="preserve">Factory record stage</t>
  </si>
  <si>
    <t xml:space="preserve">5.10</t>
  </si>
  <si>
    <t xml:space="preserve">Supered video per delivery</t>
  </si>
  <si>
    <t xml:space="preserve">What was built, how to use it, why it matters.</t>
  </si>
  <si>
    <t xml:space="preserve">5.11</t>
  </si>
  <si>
    <t xml:space="preserve">Log issues found &amp; out of scope</t>
  </si>
  <si>
    <t xml:space="preserve">Anything uncovered that's not in scope becomes a ticket ('sell the problem') or a 'not now' item.</t>
  </si>
  <si>
    <t xml:space="preserve">Tickets</t>
  </si>
  <si>
    <t xml:space="preserve">6.01</t>
  </si>
  <si>
    <t xml:space="preserve">P6 · Training &amp; adoption</t>
  </si>
  <si>
    <t xml:space="preserve">Confirm training plan</t>
  </si>
  <si>
    <t xml:space="preserve">Who needs which modules (from intake). See Training tab.</t>
  </si>
  <si>
    <t xml:space="preserve">Training tab</t>
  </si>
  <si>
    <t xml:space="preserve">6.02</t>
  </si>
  <si>
    <t xml:space="preserve">Deliver training modules</t>
  </si>
  <si>
    <t xml:space="preserve">Supered videos + live practice in office hours, timed to when each feature ships.</t>
  </si>
  <si>
    <t xml:space="preserve">Supered + office hours</t>
  </si>
  <si>
    <t xml:space="preserve">6.03</t>
  </si>
  <si>
    <t xml:space="preserve">Adoption check #1</t>
  </si>
  <si>
    <t xml:space="preserve">Logins, emails sent, workflows active, dashboards viewed. Flag low adoption in the weekly update.</t>
  </si>
  <si>
    <t xml:space="preserve">Onboarding record</t>
  </si>
  <si>
    <t xml:space="preserve">Task auto-created Day 45</t>
  </si>
  <si>
    <t xml:space="preserve">6.04</t>
  </si>
  <si>
    <t xml:space="preserve">Admin handbook (Supered Base)</t>
  </si>
  <si>
    <t xml:space="preserve">How your portal is set up: naming conventions, properties, workflows, who owns what.</t>
  </si>
  <si>
    <t xml:space="preserve">Supered Base</t>
  </si>
  <si>
    <t xml:space="preserve">6.05</t>
  </si>
  <si>
    <t xml:space="preserve">Adoption check #2</t>
  </si>
  <si>
    <t xml:space="preserve">Same check before the final results review.</t>
  </si>
  <si>
    <t xml:space="preserve">Task auto-created Day 75</t>
  </si>
  <si>
    <t xml:space="preserve">7.01</t>
  </si>
  <si>
    <t xml:space="preserve">P7 · Run cadence</t>
  </si>
  <si>
    <t xml:space="preserve">Office hours (weekly)</t>
  </si>
  <si>
    <t xml:space="preserve">Bookable slots via link. Used for questions, coaching and training practice.</t>
  </si>
  <si>
    <t xml:space="preserve">7.02</t>
  </si>
  <si>
    <t xml:space="preserve">Weekly update (every Friday)</t>
  </si>
  <si>
    <t xml:space="preserve">AI drafts from completed tasks, Factory progress and KPIs; Architect reviews and sends. See Comms tab for the template.</t>
  </si>
  <si>
    <t xml:space="preserve">Email logged to onboarding record</t>
  </si>
  <si>
    <t xml:space="preserve">Recurring task every Thursday + AI draft</t>
  </si>
  <si>
    <t xml:space="preserve">7.03</t>
  </si>
  <si>
    <t xml:space="preserve">New requests → tickets</t>
  </si>
  <si>
    <t xml:space="preserve">Every client request becomes a ticket with urgency class. Out of scope → quoted ($250) or saved as 'not now'.</t>
  </si>
  <si>
    <t xml:space="preserve">Tickets (Active pipeline)</t>
  </si>
  <si>
    <t xml:space="preserve">Form/email → ticket</t>
  </si>
  <si>
    <t xml:space="preserve">7.04</t>
  </si>
  <si>
    <t xml:space="preserve">Store client ideas as 'not now'</t>
  </si>
  <si>
    <t xml:space="preserve">Ideas we won't do now are saved so we can sell them later (fuel for the 'what's next' call).</t>
  </si>
  <si>
    <t xml:space="preserve">Tickets: Not Now</t>
  </si>
  <si>
    <t xml:space="preserve">7.05</t>
  </si>
  <si>
    <t xml:space="preserve">Work scheduled with due dates</t>
  </si>
  <si>
    <t xml:space="preserve">Every task has a due date and sits in the Architect's task queue / calendar. 'Things we didn't do' are documented, not dropped.</t>
  </si>
  <si>
    <t xml:space="preserve">HubSpot tasks</t>
  </si>
  <si>
    <t xml:space="preserve">7.06</t>
  </si>
  <si>
    <t xml:space="preserve">Weekly health check</t>
  </si>
  <si>
    <t xml:space="preserve">Update status (On track / At risk / Off track), risks &amp; blockers. Escalate per the escalation path.</t>
  </si>
  <si>
    <t xml:space="preserve">Alert Phil when At risk</t>
  </si>
  <si>
    <t xml:space="preserve">7.07</t>
  </si>
  <si>
    <t xml:space="preserve">Monthly Business Review (MBR)</t>
  </si>
  <si>
    <t xml:space="preserve">Progress vs benchmark, KPI trend, issues and opportunities found. Phil joins.</t>
  </si>
  <si>
    <t xml:space="preserve">7.08</t>
  </si>
  <si>
    <t xml:space="preserve">Internal delivery review (weekly)</t>
  </si>
  <si>
    <t xml:space="preserve">Phil + Architects: at-risk customers, capacity, blockers.</t>
  </si>
  <si>
    <t xml:space="preserve">Board view of onboarding pipeline</t>
  </si>
  <si>
    <t xml:space="preserve">8.01</t>
  </si>
  <si>
    <t xml:space="preserve">P8 · What's next</t>
  </si>
  <si>
    <t xml:space="preserve">Prep next-phase options</t>
  </si>
  <si>
    <t xml:space="preserve">Results so far, issues found, 'not now' backlog → Option A / Option B.</t>
  </si>
  <si>
    <t xml:space="preserve">AI drafts summary</t>
  </si>
  <si>
    <t xml:space="preserve">8.02</t>
  </si>
  <si>
    <t xml:space="preserve">'What's next' call</t>
  </si>
  <si>
    <t xml:space="preserve">Phil explains the customer's next phase with an assumptive A/B choice; Architect joins.</t>
  </si>
  <si>
    <t xml:space="preserve">8.03</t>
  </si>
  <si>
    <t xml:space="preserve">Next-phase proposal</t>
  </si>
  <si>
    <t xml:space="preserve">New deal in the Sales Pipeline (type: Expansion) with the chosen option.</t>
  </si>
  <si>
    <t xml:space="preserve">Deal</t>
  </si>
  <si>
    <t xml:space="preserve">8.04</t>
  </si>
  <si>
    <t xml:space="preserve">Final results review</t>
  </si>
  <si>
    <t xml:space="preserve">Before vs after for every progress measure; what we built; what's still open.</t>
  </si>
  <si>
    <t xml:space="preserve">Meeting + dashboard</t>
  </si>
  <si>
    <t xml:space="preserve">8.05</t>
  </si>
  <si>
    <t xml:space="preserve">Close out the program</t>
  </si>
  <si>
    <t xml:space="preserve">Supered plan archived, onboarding → Completed, feedback/NPS and testimonial request.</t>
  </si>
  <si>
    <t xml:space="preserve">Onboarding pipeline</t>
  </si>
  <si>
    <t xml:space="preserve">Feedback survey on stage change</t>
  </si>
  <si>
    <t xml:space="preserve">9.01</t>
  </si>
  <si>
    <t xml:space="preserve">P9 · Post-program</t>
  </si>
  <si>
    <t xml:space="preserve">6 months of free KPI monitoring</t>
  </si>
  <si>
    <t xml:space="preserve">Monthly KPI snapshot email (scheduled dashboard) + quarterly check-in.</t>
  </si>
  <si>
    <t xml:space="preserve">Scheduled dashboard email</t>
  </si>
  <si>
    <t xml:space="preserve">Monthly</t>
  </si>
  <si>
    <t xml:space="preserve">9.02</t>
  </si>
  <si>
    <t xml:space="preserve">Offer: team support</t>
  </si>
  <si>
    <t xml:space="preserve">Paid ongoing support for their team.</t>
  </si>
  <si>
    <t xml:space="preserve">9.03</t>
  </si>
  <si>
    <t xml:space="preserve">Offer: build internal capacity</t>
  </si>
  <si>
    <t xml:space="preserve">Paid help to grow their in-house team's skills (training, hiring support).</t>
  </si>
  <si>
    <t xml:space="preserve">9.04</t>
  </si>
  <si>
    <t xml:space="preserve">Offer: one initiative a month</t>
  </si>
  <si>
    <t xml:space="preserve">Ongoing plan, one initiative per month.</t>
  </si>
  <si>
    <t xml:space="preserve">9.05</t>
  </si>
  <si>
    <t xml:space="preserve">Quarterly relationship check-in</t>
  </si>
  <si>
    <t xml:space="preserve">Goal: keep the relationship for another 6–12 months.</t>
  </si>
  <si>
    <t xml:space="preserve">Task every 90 days</t>
  </si>
  <si>
    <t xml:space="preserve">Tasks by owner</t>
  </si>
  <si>
    <t xml:space="preserve"># tasks</t>
  </si>
  <si>
    <t xml:space="preserve">Total</t>
  </si>
  <si>
    <t xml:space="preserve">Post-sale intake. 'Captured pre-sale' items are pre-filled from the deal and only confirmed.</t>
  </si>
  <si>
    <t xml:space="preserve">Section</t>
  </si>
  <si>
    <t xml:space="preserve">Question</t>
  </si>
  <si>
    <t xml:space="preserve">Field type</t>
  </si>
  <si>
    <t xml:space="preserve">Required</t>
  </si>
  <si>
    <t xml:space="preserve">Captured pre-sale?</t>
  </si>
  <si>
    <t xml:space="preserve">Why we ask</t>
  </si>
  <si>
    <t xml:space="preserve">Maps to</t>
  </si>
  <si>
    <t xml:space="preserve">Contacts</t>
  </si>
  <si>
    <t xml:space="preserve">Main point of contact (name, email, role)</t>
  </si>
  <si>
    <t xml:space="preserve">Text</t>
  </si>
  <si>
    <t xml:space="preserve">Yes (confirm)</t>
  </si>
  <si>
    <t xml:space="preserve">One owner for approvals and to-dos.</t>
  </si>
  <si>
    <t xml:space="preserve">Contact + association label POC</t>
  </si>
  <si>
    <t xml:space="preserve">Supporters who should get updates or training</t>
  </si>
  <si>
    <t xml:space="preserve">Multi-line text</t>
  </si>
  <si>
    <t xml:space="preserve">Partly</t>
  </si>
  <si>
    <t xml:space="preserve">Training plan and weekly update recipients.</t>
  </si>
  <si>
    <t xml:space="preserve">Contacts + association label Supporter</t>
  </si>
  <si>
    <t xml:space="preserve">Who controls your DNS / IT?</t>
  </si>
  <si>
    <t xml:space="preserve">Needed for email authentication and domain connection.</t>
  </si>
  <si>
    <t xml:space="preserve">Onboarding: DNS contact</t>
  </si>
  <si>
    <t xml:space="preserve">Preferred channel for quick questions</t>
  </si>
  <si>
    <t xml:space="preserve">Dropdown: Email / Slack Connect / Teams</t>
  </si>
  <si>
    <t xml:space="preserve">Sets how office-hours follow-ups happen.</t>
  </si>
  <si>
    <t xml:space="preserve">Onboarding: Comms channel</t>
  </si>
  <si>
    <t xml:space="preserve">Time zone and best days for office hours</t>
  </si>
  <si>
    <t xml:space="preserve">Office hours slots.</t>
  </si>
  <si>
    <t xml:space="preserve">Onboarding: Time zone</t>
  </si>
  <si>
    <t xml:space="preserve">Goals</t>
  </si>
  <si>
    <t xml:space="preserve">In one sentence: from where to where? (pre-filled from the sale)</t>
  </si>
  <si>
    <t xml:space="preserve">The strategic motivation every update ties back to.</t>
  </si>
  <si>
    <t xml:space="preserve">Onboarding: Customer goal</t>
  </si>
  <si>
    <t xml:space="preserve">Top 3 results you want in the next 90 days</t>
  </si>
  <si>
    <t xml:space="preserve">Prioritizes the Delivery Template.</t>
  </si>
  <si>
    <t xml:space="preserve">Onboarding: Success metrics</t>
  </si>
  <si>
    <t xml:space="preserve">How do you report marketing results today, and to whom?</t>
  </si>
  <si>
    <t xml:space="preserve">Shapes dashboards and MBRs.</t>
  </si>
  <si>
    <t xml:space="preserve">Onboarding note</t>
  </si>
  <si>
    <t xml:space="preserve">Current numbers: monthly sessions, leads, MQLs, meetings, customers</t>
  </si>
  <si>
    <t xml:space="preserve">Number fields</t>
  </si>
  <si>
    <t xml:space="preserve">Baseline for progress measures.</t>
  </si>
  <si>
    <t xml:space="preserve">Factory baseline</t>
  </si>
  <si>
    <t xml:space="preserve">Audience</t>
  </si>
  <si>
    <t xml:space="preserve">Who are your buyers? (personas / segments)</t>
  </si>
  <si>
    <t xml:space="preserve">Segmentation and nurture design.</t>
  </si>
  <si>
    <t xml:space="preserve">How do you define a marketing-qualified lead today?</t>
  </si>
  <si>
    <t xml:space="preserve">Lifecycle and MQL handoff.</t>
  </si>
  <si>
    <t xml:space="preserve">Marketing today</t>
  </si>
  <si>
    <t xml:space="preserve">Channels you use</t>
  </si>
  <si>
    <t xml:space="preserve">Checkboxes: SEO, Paid search, Paid social, Organic social, Email, Events/Webinars, Partners, Outbound</t>
  </si>
  <si>
    <t xml:space="preserve">Integrations and campaign setup.</t>
  </si>
  <si>
    <t xml:space="preserve">Onboarding: Channels</t>
  </si>
  <si>
    <t xml:space="preserve">Campaigns or launches planned in the next 90 days</t>
  </si>
  <si>
    <t xml:space="preserve">Pick a first campaign to build live.</t>
  </si>
  <si>
    <t xml:space="preserve">Who on your team will run HubSpot, and hours per week</t>
  </si>
  <si>
    <t xml:space="preserve">Training scope and realistic timeline.</t>
  </si>
  <si>
    <t xml:space="preserve">Onboarding: Team capacity</t>
  </si>
  <si>
    <t xml:space="preserve">Other agencies or freelancers involved</t>
  </si>
  <si>
    <t xml:space="preserve">Avoid overlap; access and handoff.</t>
  </si>
  <si>
    <t xml:space="preserve">Content approval</t>
  </si>
  <si>
    <t xml:space="preserve">Who approves emails/pages before they go live, and how fast?</t>
  </si>
  <si>
    <t xml:space="preserve">Sets UAT turnaround in the plan.</t>
  </si>
  <si>
    <t xml:space="preserve">Onboarding: Approver</t>
  </si>
  <si>
    <t xml:space="preserve">Tech</t>
  </si>
  <si>
    <t xml:space="preserve">HubSpot hubs and tiers you own</t>
  </si>
  <si>
    <t xml:space="preserve">Checkboxes per hub + tier</t>
  </si>
  <si>
    <t xml:space="preserve">Determines which setup items apply (Starter / Pro / Enterprise).</t>
  </si>
  <si>
    <t xml:space="preserve">Company: Hub tiers</t>
  </si>
  <si>
    <t xml:space="preserve">Website platform and who can edit it</t>
  </si>
  <si>
    <t xml:space="preserve">Dropdown + text</t>
  </si>
  <si>
    <t xml:space="preserve">Tracking code and embedded forms.</t>
  </si>
  <si>
    <t xml:space="preserve">Company: CMS</t>
  </si>
  <si>
    <t xml:space="preserve">Email domain you send from</t>
  </si>
  <si>
    <t xml:space="preserve">Email sending domain authentication.</t>
  </si>
  <si>
    <t xml:space="preserve">Onboarding: Sending domain</t>
  </si>
  <si>
    <t xml:space="preserve">Other tools we must connect or migrate from</t>
  </si>
  <si>
    <t xml:space="preserve">Multi-line text (CRM, email tool, ads, webinar, chat, analytics)</t>
  </si>
  <si>
    <t xml:space="preserve">Integration and migration scope.</t>
  </si>
  <si>
    <t xml:space="preserve">Company: Tech stack</t>
  </si>
  <si>
    <t xml:space="preserve">Where do your contacts live today and roughly how many?</t>
  </si>
  <si>
    <t xml:space="preserve">Text + number</t>
  </si>
  <si>
    <t xml:space="preserve">Import scope and marketing contact tier.</t>
  </si>
  <si>
    <t xml:space="preserve">Compliance</t>
  </si>
  <si>
    <t xml:space="preserve">Regions you market to and consent rules you follow</t>
  </si>
  <si>
    <t xml:space="preserve">Checkboxes: US, Canada (CASL), EU/UK (GDPR), Other</t>
  </si>
  <si>
    <t xml:space="preserve">Subscription types, consent and cookie banner.</t>
  </si>
  <si>
    <t xml:space="preserve">Onboarding: Compliance</t>
  </si>
  <si>
    <t xml:space="preserve">Industry regulations (e.g. HIPAA, financial)</t>
  </si>
  <si>
    <t xml:space="preserve">Data handling limits.</t>
  </si>
  <si>
    <t xml:space="preserve">Brand</t>
  </si>
  <si>
    <t xml:space="preserve">Upload brand guide, logos, fonts, email templates</t>
  </si>
  <si>
    <t xml:space="preserve">File upload</t>
  </si>
  <si>
    <t xml:space="preserve">Brand kit and templates.</t>
  </si>
  <si>
    <t xml:space="preserve">Files on onboarding record</t>
  </si>
  <si>
    <t xml:space="preserve">Access</t>
  </si>
  <si>
    <t xml:space="preserve">Checklist: HubSpot partner access, website admin, GA4/GTM, ad accounts, social accounts</t>
  </si>
  <si>
    <t xml:space="preserve">Checkboxes</t>
  </si>
  <si>
    <t xml:space="preserve">One list so access isn't chased for weeks.</t>
  </si>
  <si>
    <t xml:space="preserve">Onboarding: Access status</t>
  </si>
  <si>
    <t xml:space="preserve">Tier: S = all tiers (Starter+), P = Professional+, E = Enterprise only.</t>
  </si>
  <si>
    <t xml:space="preserve">Area</t>
  </si>
  <si>
    <t xml:space="preserve">Item</t>
  </si>
  <si>
    <t xml:space="preserve">Details</t>
  </si>
  <si>
    <t xml:space="preserve">Tier</t>
  </si>
  <si>
    <t xml:space="preserve">Task ID</t>
  </si>
  <si>
    <t xml:space="preserve">Account</t>
  </si>
  <si>
    <t xml:space="preserve">Users, teams &amp; permission sets</t>
  </si>
  <si>
    <t xml:space="preserve">Invite client users, set permissions by role, teams if needed.</t>
  </si>
  <si>
    <t xml:space="preserve">S</t>
  </si>
  <si>
    <t xml:space="preserve">Security</t>
  </si>
  <si>
    <t xml:space="preserve">Require 2FA; SSO on Enterprise.</t>
  </si>
  <si>
    <t xml:space="preserve">Account defaults</t>
  </si>
  <si>
    <t xml:space="preserve">Company info, time zone, currency, fiscal year; brands/business units (Ent).</t>
  </si>
  <si>
    <t xml:space="preserve">Tracking</t>
  </si>
  <si>
    <t xml:space="preserve">Install tracking code</t>
  </si>
  <si>
    <t xml:space="preserve">On every domain (CMS plugin or GTM). Verify with a test visit.</t>
  </si>
  <si>
    <t xml:space="preserve">Exclude internal traffic</t>
  </si>
  <si>
    <t xml:space="preserve">Client and RevGravy IPs/domains excluded from analytics.</t>
  </si>
  <si>
    <t xml:space="preserve">Cookie consent banner</t>
  </si>
  <si>
    <t xml:space="preserve">Configured per regions in intake.</t>
  </si>
  <si>
    <t xml:space="preserve">Domains</t>
  </si>
  <si>
    <t xml:space="preserve">Connect content domains</t>
  </si>
  <si>
    <t xml:space="preserve">Landing pages / blog subdomain (e.g. go.client.com).</t>
  </si>
  <si>
    <t xml:space="preserve">Email sending domain authentication</t>
  </si>
  <si>
    <t xml:space="preserve">SPF, DKIM, DMARC records added by client DNS contact; verified in HubSpot.</t>
  </si>
  <si>
    <t xml:space="preserve">Architect + client IT</t>
  </si>
  <si>
    <t xml:space="preserve">Email</t>
  </si>
  <si>
    <t xml:space="preserve">Subscription types</t>
  </si>
  <si>
    <t xml:space="preserve">Defined per content type; mapped to consent requirements.</t>
  </si>
  <si>
    <t xml:space="preserve">Footer, office address, default sender</t>
  </si>
  <si>
    <t xml:space="preserve">Compliant footer, real sender name.</t>
  </si>
  <si>
    <t xml:space="preserve">Brand kit &amp; email templates</t>
  </si>
  <si>
    <t xml:space="preserve">Logo, colors, fonts; 2–3 reusable templates.</t>
  </si>
  <si>
    <t xml:space="preserve">Double opt-in</t>
  </si>
  <si>
    <t xml:space="preserve">Only if compliance requires it.</t>
  </si>
  <si>
    <t xml:space="preserve">Data</t>
  </si>
  <si>
    <t xml:space="preserve">Property audit &amp; custom properties</t>
  </si>
  <si>
    <t xml:space="preserve">Remove unused, add what the Factories need. Naming convention documented.</t>
  </si>
  <si>
    <t xml:space="preserve">Lifecycle stages &amp; lead status</t>
  </si>
  <si>
    <t xml:space="preserve">Definitions agreed with client; automation set.</t>
  </si>
  <si>
    <t xml:space="preserve">Marketing contact rules</t>
  </si>
  <si>
    <t xml:space="preserve">Who is a marketing contact; keeps billing under control.</t>
  </si>
  <si>
    <t xml:space="preserve">Import contacts &amp; companies</t>
  </si>
  <si>
    <t xml:space="preserve">Mapped import, dedupe, associations.</t>
  </si>
  <si>
    <t xml:space="preserve">Data hygiene workflows</t>
  </si>
  <si>
    <t xml:space="preserve">Formatting, required fields, duplicates.</t>
  </si>
  <si>
    <t xml:space="preserve">P</t>
  </si>
  <si>
    <t xml:space="preserve">Website CMS / non-HubSpot forms</t>
  </si>
  <si>
    <t xml:space="preserve">Embed or collect external forms.</t>
  </si>
  <si>
    <t xml:space="preserve">GA4</t>
  </si>
  <si>
    <t xml:space="preserve">Connect for reporting.</t>
  </si>
  <si>
    <t xml:space="preserve">Ad accounts</t>
  </si>
  <si>
    <t xml:space="preserve">Google, Meta, LinkedIn; conversion events.</t>
  </si>
  <si>
    <t xml:space="preserve">Social accounts</t>
  </si>
  <si>
    <t xml:space="preserve">Connect for publishing and reporting.</t>
  </si>
  <si>
    <t xml:space="preserve">Webinar / Zoom, Slack, other apps</t>
  </si>
  <si>
    <t xml:space="preserve">As listed in intake.</t>
  </si>
  <si>
    <t xml:space="preserve">CRM sync (if CRM isn't HubSpot)</t>
  </si>
  <si>
    <t xml:space="preserve">Field mapping, sync rules, lifecycle alignment.</t>
  </si>
  <si>
    <t xml:space="preserve">Install and grant client users access.</t>
  </si>
  <si>
    <t xml:space="preserve">Forms</t>
  </si>
  <si>
    <t xml:space="preserve">Hidden fields, consent, progressive fields (Pro).</t>
  </si>
  <si>
    <t xml:space="preserve">CTAs / pop-ups</t>
  </si>
  <si>
    <t xml:space="preserve">Per offer.</t>
  </si>
  <si>
    <t xml:space="preserve">Landing &amp; thank-you pages</t>
  </si>
  <si>
    <t xml:space="preserve">Template + first pages.</t>
  </si>
  <si>
    <t xml:space="preserve">Meetings link</t>
  </si>
  <si>
    <t xml:space="preserve">For sales handoff from nurture.</t>
  </si>
  <si>
    <t xml:space="preserve">Core segments</t>
  </si>
  <si>
    <t xml:space="preserve">Persona, lifecycle, engagement, customers, suppression.</t>
  </si>
  <si>
    <t xml:space="preserve">Nurture workflows</t>
  </si>
  <si>
    <t xml:space="preserve">Per persona / offer.</t>
  </si>
  <si>
    <t xml:space="preserve">Lead scoring</t>
  </si>
  <si>
    <t xml:space="preserve">Fit + engagement score; MQL threshold.</t>
  </si>
  <si>
    <t xml:space="preserve">MQL handoff</t>
  </si>
  <si>
    <t xml:space="preserve">Assignment, notifications, SLA tasks.</t>
  </si>
  <si>
    <t xml:space="preserve">Campaigns</t>
  </si>
  <si>
    <t xml:space="preserve">Campaigns &amp; UTMs</t>
  </si>
  <si>
    <t xml:space="preserve">Campaign object, UTM conventions, assets associated.</t>
  </si>
  <si>
    <t xml:space="preserve">Ad audiences</t>
  </si>
  <si>
    <t xml:space="preserve">Retargeting and segment-based audiences.</t>
  </si>
  <si>
    <t xml:space="preserve">Reporting</t>
  </si>
  <si>
    <t xml:space="preserve">Progress-measure dashboard</t>
  </si>
  <si>
    <t xml:space="preserve">One report per Factory; baseline vs now.</t>
  </si>
  <si>
    <t xml:space="preserve">Marketing performance dashboard</t>
  </si>
  <si>
    <t xml:space="preserve">Traffic, leads, MQLs, emails, campaigns.</t>
  </si>
  <si>
    <t xml:space="preserve">Attribution reports</t>
  </si>
  <si>
    <t xml:space="preserve">Multi-touch revenue attribution.</t>
  </si>
  <si>
    <t xml:space="preserve">E</t>
  </si>
  <si>
    <t xml:space="preserve">Breeze / AI settings</t>
  </si>
  <si>
    <t xml:space="preserve">Brand voice, content tools, agents — within agreed AI terms.</t>
  </si>
  <si>
    <t xml:space="preserve">QA</t>
  </si>
  <si>
    <t xml:space="preserve">End-to-end test</t>
  </si>
  <si>
    <t xml:space="preserve">Visit → form → contact → workflow → email → notification.</t>
  </si>
  <si>
    <t xml:space="preserve">Client sign-off (UAT)</t>
  </si>
  <si>
    <t xml:space="preserve">Client approves each delivery before go-live.</t>
  </si>
  <si>
    <t xml:space="preserve">Each module is short and timed to when the feature ships.</t>
  </si>
  <si>
    <t xml:space="preserve">Module</t>
  </si>
  <si>
    <t xml:space="preserve">Content</t>
  </si>
  <si>
    <t xml:space="preserve">Format</t>
  </si>
  <si>
    <t xml:space="preserve">When</t>
  </si>
  <si>
    <t xml:space="preserve">Length</t>
  </si>
  <si>
    <t xml:space="preserve">T1 · HubSpot basics</t>
  </si>
  <si>
    <t xml:space="preserve">All client users</t>
  </si>
  <si>
    <t xml:space="preserve">Navigation, records, notifications, where to find help.</t>
  </si>
  <si>
    <t xml:space="preserve">Supered tour + video</t>
  </si>
  <si>
    <t xml:space="preserve">After access (≈ Day 7)</t>
  </si>
  <si>
    <t xml:space="preserve">10 min</t>
  </si>
  <si>
    <t xml:space="preserve">T2 · Contacts &amp; segments</t>
  </si>
  <si>
    <t xml:space="preserve">Marketing team</t>
  </si>
  <si>
    <t xml:space="preserve">Contact records, properties, segments, data hygiene habits.</t>
  </si>
  <si>
    <t xml:space="preserve">Video + office hours practice</t>
  </si>
  <si>
    <t xml:space="preserve">After data import (≈ Day 25)</t>
  </si>
  <si>
    <t xml:space="preserve">20 min</t>
  </si>
  <si>
    <t xml:space="preserve">T3 · Email marketing</t>
  </si>
  <si>
    <t xml:space="preserve">Build, test, send and analyze emails using your templates.</t>
  </si>
  <si>
    <t xml:space="preserve">Video + live build in office hours</t>
  </si>
  <si>
    <t xml:space="preserve">After email foundations (≈ Day 20)</t>
  </si>
  <si>
    <t xml:space="preserve">25 min</t>
  </si>
  <si>
    <t xml:space="preserve">T4 · Forms, landing pages &amp; CTAs</t>
  </si>
  <si>
    <t xml:space="preserve">Create and edit lead capture assets.</t>
  </si>
  <si>
    <t xml:space="preserve">Video</t>
  </si>
  <si>
    <t xml:space="preserve">After lead capture ships (≈ Day 40)</t>
  </si>
  <si>
    <t xml:space="preserve">T5 · Workflows &amp; nurture</t>
  </si>
  <si>
    <t xml:space="preserve">HubSpot admin(s)</t>
  </si>
  <si>
    <t xml:space="preserve">Read, edit and safely clone workflows.</t>
  </si>
  <si>
    <t xml:space="preserve">Live session</t>
  </si>
  <si>
    <t xml:space="preserve">After nurture ships (≈ Day 55)</t>
  </si>
  <si>
    <t xml:space="preserve">30 min</t>
  </si>
  <si>
    <t xml:space="preserve">T6 · Campaigns, ads &amp; social</t>
  </si>
  <si>
    <t xml:space="preserve">Campaign object, UTMs, ads and social reporting.</t>
  </si>
  <si>
    <t xml:space="preserve">After first campaign (≈ Day 65)</t>
  </si>
  <si>
    <t xml:space="preserve">T7 · Reporting &amp; dashboards</t>
  </si>
  <si>
    <t xml:space="preserve">Marketing lead + leadership</t>
  </si>
  <si>
    <t xml:space="preserve">Read the progress-measure dashboard; build a report.</t>
  </si>
  <si>
    <t xml:space="preserve">Live at MBR #2</t>
  </si>
  <si>
    <t xml:space="preserve">≈ Day 60</t>
  </si>
  <si>
    <t xml:space="preserve">T8 · Lead handoff</t>
  </si>
  <si>
    <t xml:space="preserve">Marketing + sales</t>
  </si>
  <si>
    <t xml:space="preserve">MQL definition, notifications, follow-up SLA.</t>
  </si>
  <si>
    <t xml:space="preserve">After MQL handoff ships (≈ Day 60)</t>
  </si>
  <si>
    <t xml:space="preserve">T9 · Admin handbook</t>
  </si>
  <si>
    <t xml:space="preserve">How your portal is built and how to maintain it.</t>
  </si>
  <si>
    <t xml:space="preserve">≈ Day 85</t>
  </si>
  <si>
    <t xml:space="preserve">Self-serve</t>
  </si>
  <si>
    <t xml:space="preserve">Every customer-facing touchpoint, in order.</t>
  </si>
  <si>
    <t xml:space="preserve">Touchpoint</t>
  </si>
  <si>
    <t xml:space="preserve">Timing</t>
  </si>
  <si>
    <t xml:space="preserve">Channel</t>
  </si>
  <si>
    <t xml:space="preserve">Welcome email #1</t>
  </si>
  <si>
    <t xml:space="preserve">Day 0</t>
  </si>
  <si>
    <t xml:space="preserve">Email from Phil</t>
  </si>
  <si>
    <t xml:space="preserve">Welcome, Supered Action Plan link, kickoff booking link, first to-dos (access + intake).</t>
  </si>
  <si>
    <t xml:space="preserve">Welcome email #2</t>
  </si>
  <si>
    <t xml:space="preserve">Day 2</t>
  </si>
  <si>
    <t xml:space="preserve">How we work: office hours, weekly updates, requests &amp; urgency classes ($250), escalation path, AI use.</t>
  </si>
  <si>
    <t xml:space="preserve">Access / intake reminders</t>
  </si>
  <si>
    <t xml:space="preserve">Day 3–5 if incomplete</t>
  </si>
  <si>
    <t xml:space="preserve">Friendly reminder with the exact missing items.</t>
  </si>
  <si>
    <t xml:space="preserve">Supered announcement</t>
  </si>
  <si>
    <t xml:space="preserve">Day 2–3</t>
  </si>
  <si>
    <t xml:space="preserve">How Supered works: Bases, announcements, documentation.</t>
  </si>
  <si>
    <t xml:space="preserve">Kickoff (15 min)</t>
  </si>
  <si>
    <t xml:space="preserve">Day 5–10</t>
  </si>
  <si>
    <t xml:space="preserve">Video call</t>
  </si>
  <si>
    <t xml:space="preserve">Intros, plan, missing items, office hours, MBRs.</t>
  </si>
  <si>
    <t xml:space="preserve">Kickoff recap</t>
  </si>
  <si>
    <t xml:space="preserve">Within 24h of kickoff</t>
  </si>
  <si>
    <t xml:space="preserve">Architect (AI draft)</t>
  </si>
  <si>
    <t xml:space="preserve">Decisions, owners, dates, client to-dos.</t>
  </si>
  <si>
    <t xml:space="preserve">Weekly update</t>
  </si>
  <si>
    <t xml:space="preserve">Every Friday</t>
  </si>
  <si>
    <t xml:space="preserve">1) What we did and which strategic issue it moves  2) KPIs vs baseline  3) Issues found that aren't in scope  4) Next week  5) Your to-dos.</t>
  </si>
  <si>
    <t xml:space="preserve">Delivery announcement</t>
  </si>
  <si>
    <t xml:space="preserve">Each delivery</t>
  </si>
  <si>
    <t xml:space="preserve">Supered video</t>
  </si>
  <si>
    <t xml:space="preserve">Office hours</t>
  </si>
  <si>
    <t xml:space="preserve">Weekly slots</t>
  </si>
  <si>
    <t xml:space="preserve">Booking link</t>
  </si>
  <si>
    <t xml:space="preserve">Questions, coaching, training practice.</t>
  </si>
  <si>
    <t xml:space="preserve">MBR</t>
  </si>
  <si>
    <t xml:space="preserve">≈ Day 30 and Day 60</t>
  </si>
  <si>
    <t xml:space="preserve">Architect + Phil</t>
  </si>
  <si>
    <t xml:space="preserve">Progress vs benchmark, KPI trend, issues and opportunities.</t>
  </si>
  <si>
    <t xml:space="preserve">≈ Day 60–65</t>
  </si>
  <si>
    <t xml:space="preserve">Phil + Architect</t>
  </si>
  <si>
    <t xml:space="preserve">Long-term vision, A/B next phase.</t>
  </si>
  <si>
    <t xml:space="preserve">≈ Day 80–88</t>
  </si>
  <si>
    <t xml:space="preserve">Before vs after, what we built, what's open.</t>
  </si>
  <si>
    <t xml:space="preserve">KPI monitoring</t>
  </si>
  <si>
    <t xml:space="preserve">Monthly for 6 months</t>
  </si>
  <si>
    <t xml:space="preserve">Progress measures snapshot.</t>
  </si>
  <si>
    <t xml:space="preserve">Tool Fit: HubSpot Work vs Projects vs Tickets</t>
  </si>
  <si>
    <t xml:space="preserve">Score 0 = poor, 1 = workable, 2 = strong. Edit the yellow scores; totals are formulas.</t>
  </si>
  <si>
    <t xml:space="preserve">Criterion</t>
  </si>
  <si>
    <t xml:space="preserve">Work score</t>
  </si>
  <si>
    <t xml:space="preserve">HubSpot Work</t>
  </si>
  <si>
    <t xml:space="preserve">Projects score</t>
  </si>
  <si>
    <t xml:space="preserve">Projects object</t>
  </si>
  <si>
    <t xml:space="preserve">Tickets score</t>
  </si>
  <si>
    <t xml:space="preserve">One record per customer program</t>
  </si>
  <si>
    <t xml:space="preserve">Row in a tracker table linked to the CRM company/deal</t>
  </si>
  <si>
    <t xml:space="preserve">Native CRM record, associated to deal/company/contacts</t>
  </si>
  <si>
    <t xml:space="preserve">Possible, but tickets are built for single requests</t>
  </si>
  <si>
    <t xml:space="preserve">Reusable task template per program</t>
  </si>
  <si>
    <t xml:space="preserve">Project templates; AI builds from a prompt</t>
  </si>
  <si>
    <t xml:space="preserve">Tasks on records; templates/dependencies maturing — confirm in portal</t>
  </si>
  <si>
    <t xml:space="preserve">Workflow-created tasks only</t>
  </si>
  <si>
    <t xml:space="preserve">Timeline / Gantt / due dates</t>
  </si>
  <si>
    <t xml:space="preserve">Dates and statuses in tables</t>
  </si>
  <si>
    <t xml:space="preserve">Gantt, board, table, calendar views</t>
  </si>
  <si>
    <t xml:space="preserve">Board only</t>
  </si>
  <si>
    <t xml:space="preserve">Client can see their plan</t>
  </si>
  <si>
    <t xml:space="preserve">Internal workspace</t>
  </si>
  <si>
    <t xml:space="preserve">'Visible to Onboarding Customers' → customer portal</t>
  </si>
  <si>
    <t xml:space="preserve">Customer portal shows tickets</t>
  </si>
  <si>
    <t xml:space="preserve">Trigger from closed-won deal</t>
  </si>
  <si>
    <t xml:space="preserve">Agents can react to CRM changes (beta)</t>
  </si>
  <si>
    <t xml:space="preserve">Standard workflows</t>
  </si>
  <si>
    <t xml:space="preserve">Reporting (health, time in stage)</t>
  </si>
  <si>
    <t xml:space="preserve">Table views</t>
  </si>
  <si>
    <t xml:space="preserve">Standard reports, time-in-stage props</t>
  </si>
  <si>
    <t xml:space="preserve">Standard reports</t>
  </si>
  <si>
    <t xml:space="preserve">Intake forms feed the record</t>
  </si>
  <si>
    <t xml:space="preserve">Work forms create table rows</t>
  </si>
  <si>
    <t xml:space="preserve">HubSpot form + workflow</t>
  </si>
  <si>
    <t xml:space="preserve">Playbooks / docs next to the work</t>
  </si>
  <si>
    <t xml:space="preserve">Work documents</t>
  </si>
  <si>
    <t xml:space="preserve">Notes/attachments only</t>
  </si>
  <si>
    <t xml:space="preserve">Notes only</t>
  </si>
  <si>
    <t xml:space="preserve">AI drafts (handoff, weekly update)</t>
  </si>
  <si>
    <t xml:space="preserve">Built-in agents (uses HubSpot Credits)</t>
  </si>
  <si>
    <t xml:space="preserve">Breeze / workflow AI actions</t>
  </si>
  <si>
    <t xml:space="preserve">Client requests &amp; change orders</t>
  </si>
  <si>
    <t xml:space="preserve">Table of requests</t>
  </si>
  <si>
    <t xml:space="preserve">Not its job</t>
  </si>
  <si>
    <t xml:space="preserve">Already running: 'Active' ticket pipeline</t>
  </si>
  <si>
    <t xml:space="preserve">Maturity / risk</t>
  </si>
  <si>
    <t xml:space="preserve">Public beta; features may change</t>
  </si>
  <si>
    <t xml:space="preserve">Generally available, already used for Factories</t>
  </si>
  <si>
    <t xml:space="preserve">Generally available</t>
  </si>
  <si>
    <t xml:space="preserve">Total (max 22)</t>
  </si>
  <si>
    <t xml:space="preserve">Recommendation: use each tool for the job it's best at</t>
  </si>
  <si>
    <t xml:space="preserve">Tool</t>
  </si>
  <si>
    <t xml:space="preserve">Its job in the onboarding</t>
  </si>
  <si>
    <t xml:space="preserve">The team's operating hub: template library, intake form, onboarding tracker, playbook docs and AI agents (handoff brief, weekly update drafts, delay alerts). Start here as the pilot your boss asked for.</t>
  </si>
  <si>
    <t xml:space="preserve">The customer's onboarding record of truth: one record per program, associated to the deal, with tasks, Gantt, health and customer-portal visibility. Factories (progress measures) already live here.</t>
  </si>
  <si>
    <t xml:space="preserve">Client requests during the program: urgency class, $250 out-of-scope requests, 'not now' ideas. Keep the existing 'Active' pipeline.</t>
  </si>
  <si>
    <t xml:space="preserve">Tasks</t>
  </si>
  <si>
    <t xml:space="preserve">Every to-do has an owner and a due date so it lands on the Architect's queue and calendar (fixes 'Architect needs work scheduled').</t>
  </si>
  <si>
    <t xml:space="preserve">Scores for HubSpot Work are based on public beta descriptions (Oct 2026) and should be re-checked once the portal is enrolled in the beta.</t>
  </si>
  <si>
    <t xml:space="preserve">What to build in the portal once the design is approved.</t>
  </si>
  <si>
    <t xml:space="preserve">Spec</t>
  </si>
  <si>
    <t xml:space="preserve">New pipeline: 'Client Onboarding'</t>
  </si>
  <si>
    <t xml:space="preserve">Stages: Welcome → Access &amp; Intake → Kickoff → Foundations → Build &amp; Launch → Wrap-up &amp; Next Phase → Completed (closed) | Paused | Cancelled (closed).</t>
  </si>
  <si>
    <t xml:space="preserve">Type (hs_type) value</t>
  </si>
  <si>
    <t xml:space="preserve">'Marketing Hub Onboarding' (later: Sales Hub Onboarding, Sales Team Onboarding).</t>
  </si>
  <si>
    <t xml:space="preserve">Reuse existing props</t>
  </si>
  <si>
    <t xml:space="preserve">Onboarding plan customer goal, Success metrics, Risks and blockers, Status (health), Start date, Target due date, Canvas / FigJam Link, Visible to Onboarding Customers.</t>
  </si>
  <si>
    <t xml:space="preserve">New props</t>
  </si>
  <si>
    <t xml:space="preserve">Architect, Kickoff date, Next MBR date, Supered Action Plan URL, Office hours link, Hub tier, Sending domain, DNS contact, Access status, Last weekly update sent.</t>
  </si>
  <si>
    <t xml:space="preserve">Naming</t>
  </si>
  <si>
    <t xml:space="preserve">'&lt;Client&gt; · Marketing Hub Onboarding' so it never mixes up with '&lt;Client&gt; 1.1 … to …' Factory records.</t>
  </si>
  <si>
    <t xml:space="preserve">Task template</t>
  </si>
  <si>
    <t xml:space="preserve">Tasks from the Task Template tab, with due dates offset from Start date.</t>
  </si>
  <si>
    <t xml:space="preserve">Deals</t>
  </si>
  <si>
    <t xml:space="preserve">Required props on 'Start Payment Received'</t>
  </si>
  <si>
    <t xml:space="preserve">Canvas / FigJam Link, From→To statement, line items, POC contact, AI terms confirmed, escalation path.</t>
  </si>
  <si>
    <t xml:space="preserve">Workflow</t>
  </si>
  <si>
    <t xml:space="preserve">WF-01 Closed-won → onboarding</t>
  </si>
  <si>
    <t xml:space="preserve">Create onboarding project, associate deal/company/contacts, copy props, create Phil handoff task, notify Slack, enroll POC in welcome emails.</t>
  </si>
  <si>
    <t xml:space="preserve">WF-02 Access &amp; intake reminders</t>
  </si>
  <si>
    <t xml:space="preserve">If access or intake not done by Day 3 / Day 4, send reminder and create task for Architect.</t>
  </si>
  <si>
    <t xml:space="preserve">WF-03 Weekly update task</t>
  </si>
  <si>
    <t xml:space="preserve">Every Thursday while stage is open: task 'Review &amp; send weekly update' + AI draft.</t>
  </si>
  <si>
    <t xml:space="preserve">WF-04 Health alert</t>
  </si>
  <si>
    <t xml:space="preserve">Status → At risk/Off track: notify Phil, create task.</t>
  </si>
  <si>
    <t xml:space="preserve">WF-05 Day 55 'what's next' prep</t>
  </si>
  <si>
    <t xml:space="preserve">Create prep task for Phil and Architect.</t>
  </si>
  <si>
    <t xml:space="preserve">WF-06 Close-out</t>
  </si>
  <si>
    <t xml:space="preserve">Stage → Completed: feedback survey, start KPI monitoring, create 90-day check-in task.</t>
  </si>
  <si>
    <t xml:space="preserve">Active pipeline: new props</t>
  </si>
  <si>
    <t xml:space="preserve">Urgency class, In scope? (In scope / Out of scope – quote / Not now), Price ($250 default for new requests).</t>
  </si>
  <si>
    <t xml:space="preserve">Optional 'Not Now' pipeline</t>
  </si>
  <si>
    <t xml:space="preserve">Ideas and issues to sell later; feeds the 'what's next' call.</t>
  </si>
  <si>
    <t xml:space="preserve">Workspace: 'Client Onboarding'</t>
  </si>
  <si>
    <t xml:space="preserve">Project: 'Marketing Hub Onboarding'. Tables: Onboarding Tracker, Task Template Library, Tech Setup Checklist, Intake Responses, Issues &amp; Not-Now Ideas, Weekly Update Log, Training Tracker.</t>
  </si>
  <si>
    <t xml:space="preserve">Client Intake Form (→ Intake Responses), Sales→Architect Handoff Form, New Request Form.</t>
  </si>
  <si>
    <t xml:space="preserve">Documents</t>
  </si>
  <si>
    <t xml:space="preserve">Onboarding Playbook, Kickoff Agenda, Weekly Update Template, MBR Template, 'What's Next' Script, Welcome Email Copy.</t>
  </si>
  <si>
    <t xml:space="preserve">Agents</t>
  </si>
  <si>
    <t xml:space="preserve">Handoff Brief (on new tracker row), Weekly Update Drafter (Thursdays), Delay Flagger (daily), Not-Now Collector.</t>
  </si>
  <si>
    <t xml:space="preserve">Answer in the yellow column. Each answer changes the part of the design listed.</t>
  </si>
  <si>
    <t xml:space="preserve">#</t>
  </si>
  <si>
    <t xml:space="preserve">Topic</t>
  </si>
  <si>
    <t xml:space="preserve">What it changes</t>
  </si>
  <si>
    <t xml:space="preserve">Answer</t>
  </si>
  <si>
    <t xml:space="preserve">Program</t>
  </si>
  <si>
    <t xml:space="preserve">Is the Marketing Hub onboarding a fixed 90-day program? The roadmap assumes 90 days because of the '30 days before we finish' step.</t>
  </si>
  <si>
    <t xml:space="preserve">Day offsets, MBR count, 'what's next' timing</t>
  </si>
  <si>
    <t xml:space="preserve">Which Marketing Hub tiers do we sell onboarding for (Starter, Pro, Enterprise)? Is there one package or several?</t>
  </si>
  <si>
    <t xml:space="preserve">Which Tech Setup items are in scope</t>
  </si>
  <si>
    <t xml:space="preserve">Roles</t>
  </si>
  <si>
    <t xml:space="preserve">Is Phil always the strategy lead, or will other people sell and hand off too?</t>
  </si>
  <si>
    <t xml:space="preserve">Owner column, handoff workflow</t>
  </si>
  <si>
    <t xml:space="preserve">How is the Architect picked: Phil chooses, or rotation by capacity?</t>
  </si>
  <si>
    <t xml:space="preserve">WF-01 assignment</t>
  </si>
  <si>
    <t xml:space="preserve">Tools</t>
  </si>
  <si>
    <t xml:space="preserve">Is the portal enrolled in the HubSpot Work beta yet, and who is Super Admin?</t>
  </si>
  <si>
    <t xml:space="preserve">Whether we can build in Work now</t>
  </si>
  <si>
    <t xml:space="preserve">OK to add a 'Client Onboarding' pipeline to the Projects object (the one renamed 'Factory'), or keep onboarding only in HubSpot Work?</t>
  </si>
  <si>
    <t xml:space="preserve">Record of truth</t>
  </si>
  <si>
    <t xml:space="preserve">Will customers use the HubSpot customer portal, or is Supered the only client-facing place?</t>
  </si>
  <si>
    <t xml:space="preserve">'Visible to Onboarding Customers' setting</t>
  </si>
  <si>
    <t xml:space="preserve">Delivery</t>
  </si>
  <si>
    <t xml:space="preserve">What are the standard Factories (progress measures) for a Marketing Hub program? E.g. 1.1 Visitor → Lead, 1.2 Lead → MQL, 2.1 MQL → Meeting.</t>
  </si>
  <si>
    <t xml:space="preserve">Delivery Template + Build phase</t>
  </si>
  <si>
    <t xml:space="preserve">Is the $250 new-request price per request, and what are the urgency classes?</t>
  </si>
  <si>
    <t xml:space="preserve">Ticket properties</t>
  </si>
  <si>
    <t xml:space="preserve">Are migrations (e.g. Mailchimp → HubSpot) and website work in scope, or separate products?</t>
  </si>
  <si>
    <t xml:space="preserve">Scope of Foundations</t>
  </si>
  <si>
    <t xml:space="preserve">Commercial</t>
  </si>
  <si>
    <t xml:space="preserve">What exactly do the post-program offers cost and include?</t>
  </si>
  <si>
    <t xml:space="preserve">Phase 9 offers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</si>
</sst>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8"/>
      <color rgb="FF999999"/>
      <name val="Arial"/>
      <family val="0"/>
      <charset val="1"/>
    </font>
    <font>
      <sz val="10"/>
      <color rgb="FF2E7D7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C2"/>
        <bgColor rgb="FFFFFF99"/>
      </patternFill>
    </fill>
    <fill>
      <patternFill patternType="solid">
        <fgColor rgb="FFEEF3F7"/>
        <bgColor rgb="FFDCEFEA"/>
      </patternFill>
    </fill>
    <fill>
      <patternFill patternType="solid">
        <fgColor rgb="FF2E7D7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3"/>
      </left>
      <right style="thin">
        <color rgb="FFD5DCE3"/>
      </right>
      <top style="thin">
        <color rgb="FFD5DCE3"/>
      </top>
      <bottom style="thin">
        <color rgb="FFD5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2E7D7A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FEA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>
          <bgColor rgb="FFDCEFEA"/>
        </patternFill>
      </fill>
    </dxf>
    <dxf>
      <font>
        <b val="1"/>
        <color rgb="FFB4231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DCEFEA"/>
      <rgbColor rgb="FF660066"/>
      <rgbColor rgb="FFFF8080"/>
      <rgbColor rgb="FF0066CC"/>
      <rgbColor rgb="FFD5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A5F"/>
      <rgbColor rgb="FF2E7D7A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5" customFormat="false" ht="30" hidden="false" customHeight="true" outlineLevel="0" collapsed="false">
      <c r="A15" s="3" t="s">
        <v>22</v>
      </c>
      <c r="B15" s="3" t="s">
        <v>23</v>
      </c>
    </row>
    <row r="16" customFormat="false" ht="15" hidden="false" customHeight="false" outlineLevel="0" collapsed="false">
      <c r="A16" s="4" t="s">
        <v>24</v>
      </c>
      <c r="B16" s="4" t="s">
        <v>25</v>
      </c>
    </row>
    <row r="17" customFormat="false" ht="15" hidden="false" customHeight="false" outlineLevel="0" collapsed="false">
      <c r="A17" s="4" t="s">
        <v>26</v>
      </c>
      <c r="B17" s="4" t="s">
        <v>27</v>
      </c>
    </row>
    <row r="18" customFormat="false" ht="15" hidden="false" customHeight="false" outlineLevel="0" collapsed="false">
      <c r="A18" s="4" t="s">
        <v>28</v>
      </c>
      <c r="B18" s="4" t="s">
        <v>29</v>
      </c>
    </row>
    <row r="19" customFormat="false" ht="15" hidden="false" customHeight="false" outlineLevel="0" collapsed="false">
      <c r="A19" s="4" t="s">
        <v>30</v>
      </c>
      <c r="B19" s="4" t="s">
        <v>31</v>
      </c>
    </row>
    <row r="20" customFormat="false" ht="15" hidden="false" customHeight="false" outlineLevel="0" collapsed="false">
      <c r="A20" s="4" t="s">
        <v>32</v>
      </c>
      <c r="B20" s="4" t="s">
        <v>33</v>
      </c>
    </row>
    <row r="21" customFormat="false" ht="15" hidden="false" customHeight="false" outlineLevel="0" collapsed="false">
      <c r="A21" s="4" t="s">
        <v>34</v>
      </c>
      <c r="B21" s="4" t="s">
        <v>35</v>
      </c>
    </row>
    <row r="22" customFormat="false" ht="15" hidden="false" customHeight="false" outlineLevel="0" collapsed="false">
      <c r="A22" s="4" t="s">
        <v>36</v>
      </c>
      <c r="B22" s="4" t="s">
        <v>37</v>
      </c>
    </row>
    <row r="24" customFormat="false" ht="15" hidden="false" customHeight="false" outlineLevel="0" collapsed="false">
      <c r="A24" s="5" t="s">
        <v>38</v>
      </c>
    </row>
    <row r="25" customFormat="false" ht="15" hidden="false" customHeight="false" outlineLevel="0" collapsed="false">
      <c r="A25" s="6" t="s">
        <v>39</v>
      </c>
      <c r="B25" s="7" t="s">
        <v>40</v>
      </c>
    </row>
    <row r="26" customFormat="false" ht="15" hidden="false" customHeight="false" outlineLevel="0" collapsed="false">
      <c r="A26" s="7" t="s">
        <v>41</v>
      </c>
      <c r="B26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W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5" min="4" style="0" width="8"/>
    <col collapsed="false" customWidth="true" hidden="false" outlineLevel="0" max="8" min="6" style="0" width="40"/>
    <col collapsed="false" customWidth="true" hidden="false" outlineLevel="0" max="23" min="9" style="0" width="5.51"/>
  </cols>
  <sheetData>
    <row r="1" customFormat="false" ht="17.35" hidden="false" customHeight="false" outlineLevel="0" collapsed="false">
      <c r="A1" s="1" t="s">
        <v>4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I4" s="8" t="n">
        <v>-60</v>
      </c>
      <c r="J4" s="8" t="n">
        <v>0</v>
      </c>
      <c r="K4" s="8" t="n">
        <v>7</v>
      </c>
      <c r="L4" s="8" t="n">
        <v>14</v>
      </c>
      <c r="M4" s="8" t="n">
        <v>21</v>
      </c>
      <c r="N4" s="8" t="n">
        <v>28</v>
      </c>
      <c r="O4" s="8" t="n">
        <v>35</v>
      </c>
      <c r="P4" s="8" t="n">
        <v>42</v>
      </c>
      <c r="Q4" s="8" t="n">
        <v>49</v>
      </c>
      <c r="R4" s="8" t="n">
        <v>56</v>
      </c>
      <c r="S4" s="8" t="n">
        <v>63</v>
      </c>
      <c r="T4" s="8" t="n">
        <v>70</v>
      </c>
      <c r="U4" s="8" t="n">
        <v>77</v>
      </c>
      <c r="V4" s="8" t="n">
        <v>84</v>
      </c>
      <c r="W4" s="8" t="n">
        <v>91</v>
      </c>
    </row>
    <row r="5" customFormat="false" ht="15" hidden="false" customHeight="false" outlineLevel="0" collapsed="false">
      <c r="I5" s="8" t="n">
        <v>-1</v>
      </c>
      <c r="J5" s="8" t="n">
        <v>6</v>
      </c>
      <c r="K5" s="8" t="n">
        <v>13</v>
      </c>
      <c r="L5" s="8" t="n">
        <v>20</v>
      </c>
      <c r="M5" s="8" t="n">
        <v>27</v>
      </c>
      <c r="N5" s="8" t="n">
        <v>34</v>
      </c>
      <c r="O5" s="8" t="n">
        <v>41</v>
      </c>
      <c r="P5" s="8" t="n">
        <v>48</v>
      </c>
      <c r="Q5" s="8" t="n">
        <v>55</v>
      </c>
      <c r="R5" s="8" t="n">
        <v>62</v>
      </c>
      <c r="S5" s="8" t="n">
        <v>69</v>
      </c>
      <c r="T5" s="8" t="n">
        <v>76</v>
      </c>
      <c r="U5" s="8" t="n">
        <v>83</v>
      </c>
      <c r="V5" s="8" t="n">
        <v>90</v>
      </c>
      <c r="W5" s="8" t="n">
        <v>400</v>
      </c>
    </row>
    <row r="6" customFormat="false" ht="30" hidden="false" customHeight="true" outlineLevel="0" collapsed="false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56</v>
      </c>
      <c r="N6" s="3" t="s">
        <v>57</v>
      </c>
      <c r="O6" s="3" t="s">
        <v>58</v>
      </c>
      <c r="P6" s="3" t="s">
        <v>59</v>
      </c>
      <c r="Q6" s="3" t="s">
        <v>60</v>
      </c>
      <c r="R6" s="3" t="s">
        <v>61</v>
      </c>
      <c r="S6" s="3" t="s">
        <v>62</v>
      </c>
      <c r="T6" s="3" t="s">
        <v>63</v>
      </c>
      <c r="U6" s="3" t="s">
        <v>64</v>
      </c>
      <c r="V6" s="3" t="s">
        <v>65</v>
      </c>
      <c r="W6" s="3" t="s">
        <v>66</v>
      </c>
    </row>
    <row r="7" customFormat="false" ht="35.05" hidden="false" customHeight="false" outlineLevel="0" collapsed="false">
      <c r="A7" s="4" t="s">
        <v>67</v>
      </c>
      <c r="B7" s="4" t="s">
        <v>68</v>
      </c>
      <c r="C7" s="4" t="s">
        <v>69</v>
      </c>
      <c r="D7" s="9" t="n">
        <v>-30</v>
      </c>
      <c r="E7" s="9" t="n">
        <v>0</v>
      </c>
      <c r="F7" s="4" t="s">
        <v>70</v>
      </c>
      <c r="G7" s="4" t="s">
        <v>71</v>
      </c>
      <c r="H7" s="4" t="s">
        <v>72</v>
      </c>
      <c r="I7" s="10" t="str">
        <f aca="false">IF(AND($D7&lt;=I$5,$E7&gt;=I$4),"■","")</f>
        <v>■</v>
      </c>
      <c r="J7" s="10" t="str">
        <f aca="false">IF(AND($D7&lt;=J$5,$E7&gt;=J$4),"■","")</f>
        <v>■</v>
      </c>
      <c r="K7" s="10" t="str">
        <f aca="false">IF(AND($D7&lt;=K$5,$E7&gt;=K$4),"■","")</f>
        <v/>
      </c>
      <c r="L7" s="10" t="str">
        <f aca="false">IF(AND($D7&lt;=L$5,$E7&gt;=L$4),"■","")</f>
        <v/>
      </c>
      <c r="M7" s="10" t="str">
        <f aca="false">IF(AND($D7&lt;=M$5,$E7&gt;=M$4),"■","")</f>
        <v/>
      </c>
      <c r="N7" s="10" t="str">
        <f aca="false">IF(AND($D7&lt;=N$5,$E7&gt;=N$4),"■","")</f>
        <v/>
      </c>
      <c r="O7" s="10" t="str">
        <f aca="false">IF(AND($D7&lt;=O$5,$E7&gt;=O$4),"■","")</f>
        <v/>
      </c>
      <c r="P7" s="10" t="str">
        <f aca="false">IF(AND($D7&lt;=P$5,$E7&gt;=P$4),"■","")</f>
        <v/>
      </c>
      <c r="Q7" s="10" t="str">
        <f aca="false">IF(AND($D7&lt;=Q$5,$E7&gt;=Q$4),"■","")</f>
        <v/>
      </c>
      <c r="R7" s="10" t="str">
        <f aca="false">IF(AND($D7&lt;=R$5,$E7&gt;=R$4),"■","")</f>
        <v/>
      </c>
      <c r="S7" s="10" t="str">
        <f aca="false">IF(AND($D7&lt;=S$5,$E7&gt;=S$4),"■","")</f>
        <v/>
      </c>
      <c r="T7" s="10" t="str">
        <f aca="false">IF(AND($D7&lt;=T$5,$E7&gt;=T$4),"■","")</f>
        <v/>
      </c>
      <c r="U7" s="10" t="str">
        <f aca="false">IF(AND($D7&lt;=U$5,$E7&gt;=U$4),"■","")</f>
        <v/>
      </c>
      <c r="V7" s="10" t="str">
        <f aca="false">IF(AND($D7&lt;=V$5,$E7&gt;=V$4),"■","")</f>
        <v/>
      </c>
      <c r="W7" s="10" t="str">
        <f aca="false">IF(AND($D7&lt;=W$5,$E7&gt;=W$4),"■","")</f>
        <v/>
      </c>
    </row>
    <row r="8" customFormat="false" ht="35.05" hidden="false" customHeight="false" outlineLevel="0" collapsed="false">
      <c r="A8" s="4" t="s">
        <v>73</v>
      </c>
      <c r="B8" s="4" t="s">
        <v>74</v>
      </c>
      <c r="C8" s="4" t="s">
        <v>75</v>
      </c>
      <c r="D8" s="9" t="n">
        <v>0</v>
      </c>
      <c r="E8" s="9" t="n">
        <v>3</v>
      </c>
      <c r="F8" s="4" t="s">
        <v>76</v>
      </c>
      <c r="G8" s="4" t="s">
        <v>77</v>
      </c>
      <c r="H8" s="4" t="s">
        <v>78</v>
      </c>
      <c r="I8" s="10" t="str">
        <f aca="false">IF(AND($D8&lt;=I$5,$E8&gt;=I$4),"■","")</f>
        <v/>
      </c>
      <c r="J8" s="10" t="str">
        <f aca="false">IF(AND($D8&lt;=J$5,$E8&gt;=J$4),"■","")</f>
        <v>■</v>
      </c>
      <c r="K8" s="10" t="str">
        <f aca="false">IF(AND($D8&lt;=K$5,$E8&gt;=K$4),"■","")</f>
        <v/>
      </c>
      <c r="L8" s="10" t="str">
        <f aca="false">IF(AND($D8&lt;=L$5,$E8&gt;=L$4),"■","")</f>
        <v/>
      </c>
      <c r="M8" s="10" t="str">
        <f aca="false">IF(AND($D8&lt;=M$5,$E8&gt;=M$4),"■","")</f>
        <v/>
      </c>
      <c r="N8" s="10" t="str">
        <f aca="false">IF(AND($D8&lt;=N$5,$E8&gt;=N$4),"■","")</f>
        <v/>
      </c>
      <c r="O8" s="10" t="str">
        <f aca="false">IF(AND($D8&lt;=O$5,$E8&gt;=O$4),"■","")</f>
        <v/>
      </c>
      <c r="P8" s="10" t="str">
        <f aca="false">IF(AND($D8&lt;=P$5,$E8&gt;=P$4),"■","")</f>
        <v/>
      </c>
      <c r="Q8" s="10" t="str">
        <f aca="false">IF(AND($D8&lt;=Q$5,$E8&gt;=Q$4),"■","")</f>
        <v/>
      </c>
      <c r="R8" s="10" t="str">
        <f aca="false">IF(AND($D8&lt;=R$5,$E8&gt;=R$4),"■","")</f>
        <v/>
      </c>
      <c r="S8" s="10" t="str">
        <f aca="false">IF(AND($D8&lt;=S$5,$E8&gt;=S$4),"■","")</f>
        <v/>
      </c>
      <c r="T8" s="10" t="str">
        <f aca="false">IF(AND($D8&lt;=T$5,$E8&gt;=T$4),"■","")</f>
        <v/>
      </c>
      <c r="U8" s="10" t="str">
        <f aca="false">IF(AND($D8&lt;=U$5,$E8&gt;=U$4),"■","")</f>
        <v/>
      </c>
      <c r="V8" s="10" t="str">
        <f aca="false">IF(AND($D8&lt;=V$5,$E8&gt;=V$4),"■","")</f>
        <v/>
      </c>
      <c r="W8" s="10" t="str">
        <f aca="false">IF(AND($D8&lt;=W$5,$E8&gt;=W$4),"■","")</f>
        <v/>
      </c>
    </row>
    <row r="9" customFormat="false" ht="35.05" hidden="false" customHeight="false" outlineLevel="0" collapsed="false">
      <c r="A9" s="4" t="s">
        <v>79</v>
      </c>
      <c r="B9" s="4" t="s">
        <v>80</v>
      </c>
      <c r="C9" s="4" t="s">
        <v>81</v>
      </c>
      <c r="D9" s="9" t="n">
        <v>1</v>
      </c>
      <c r="E9" s="9" t="n">
        <v>7</v>
      </c>
      <c r="F9" s="4" t="s">
        <v>82</v>
      </c>
      <c r="G9" s="4" t="s">
        <v>83</v>
      </c>
      <c r="H9" s="4" t="s">
        <v>84</v>
      </c>
      <c r="I9" s="10" t="str">
        <f aca="false">IF(AND($D9&lt;=I$5,$E9&gt;=I$4),"■","")</f>
        <v/>
      </c>
      <c r="J9" s="10" t="str">
        <f aca="false">IF(AND($D9&lt;=J$5,$E9&gt;=J$4),"■","")</f>
        <v>■</v>
      </c>
      <c r="K9" s="10" t="str">
        <f aca="false">IF(AND($D9&lt;=K$5,$E9&gt;=K$4),"■","")</f>
        <v>■</v>
      </c>
      <c r="L9" s="10" t="str">
        <f aca="false">IF(AND($D9&lt;=L$5,$E9&gt;=L$4),"■","")</f>
        <v/>
      </c>
      <c r="M9" s="10" t="str">
        <f aca="false">IF(AND($D9&lt;=M$5,$E9&gt;=M$4),"■","")</f>
        <v/>
      </c>
      <c r="N9" s="10" t="str">
        <f aca="false">IF(AND($D9&lt;=N$5,$E9&gt;=N$4),"■","")</f>
        <v/>
      </c>
      <c r="O9" s="10" t="str">
        <f aca="false">IF(AND($D9&lt;=O$5,$E9&gt;=O$4),"■","")</f>
        <v/>
      </c>
      <c r="P9" s="10" t="str">
        <f aca="false">IF(AND($D9&lt;=P$5,$E9&gt;=P$4),"■","")</f>
        <v/>
      </c>
      <c r="Q9" s="10" t="str">
        <f aca="false">IF(AND($D9&lt;=Q$5,$E9&gt;=Q$4),"■","")</f>
        <v/>
      </c>
      <c r="R9" s="10" t="str">
        <f aca="false">IF(AND($D9&lt;=R$5,$E9&gt;=R$4),"■","")</f>
        <v/>
      </c>
      <c r="S9" s="10" t="str">
        <f aca="false">IF(AND($D9&lt;=S$5,$E9&gt;=S$4),"■","")</f>
        <v/>
      </c>
      <c r="T9" s="10" t="str">
        <f aca="false">IF(AND($D9&lt;=T$5,$E9&gt;=T$4),"■","")</f>
        <v/>
      </c>
      <c r="U9" s="10" t="str">
        <f aca="false">IF(AND($D9&lt;=U$5,$E9&gt;=U$4),"■","")</f>
        <v/>
      </c>
      <c r="V9" s="10" t="str">
        <f aca="false">IF(AND($D9&lt;=V$5,$E9&gt;=V$4),"■","")</f>
        <v/>
      </c>
      <c r="W9" s="10" t="str">
        <f aca="false">IF(AND($D9&lt;=W$5,$E9&gt;=W$4),"■","")</f>
        <v/>
      </c>
    </row>
    <row r="10" customFormat="false" ht="23.85" hidden="false" customHeight="false" outlineLevel="0" collapsed="false">
      <c r="A10" s="4" t="s">
        <v>85</v>
      </c>
      <c r="B10" s="4" t="s">
        <v>86</v>
      </c>
      <c r="C10" s="4" t="s">
        <v>87</v>
      </c>
      <c r="D10" s="9" t="n">
        <v>5</v>
      </c>
      <c r="E10" s="9" t="n">
        <v>10</v>
      </c>
      <c r="F10" s="4" t="s">
        <v>88</v>
      </c>
      <c r="G10" s="4" t="s">
        <v>89</v>
      </c>
      <c r="H10" s="4" t="s">
        <v>90</v>
      </c>
      <c r="I10" s="10" t="str">
        <f aca="false">IF(AND($D10&lt;=I$5,$E10&gt;=I$4),"■","")</f>
        <v/>
      </c>
      <c r="J10" s="10" t="str">
        <f aca="false">IF(AND($D10&lt;=J$5,$E10&gt;=J$4),"■","")</f>
        <v>■</v>
      </c>
      <c r="K10" s="10" t="str">
        <f aca="false">IF(AND($D10&lt;=K$5,$E10&gt;=K$4),"■","")</f>
        <v>■</v>
      </c>
      <c r="L10" s="10" t="str">
        <f aca="false">IF(AND($D10&lt;=L$5,$E10&gt;=L$4),"■","")</f>
        <v/>
      </c>
      <c r="M10" s="10" t="str">
        <f aca="false">IF(AND($D10&lt;=M$5,$E10&gt;=M$4),"■","")</f>
        <v/>
      </c>
      <c r="N10" s="10" t="str">
        <f aca="false">IF(AND($D10&lt;=N$5,$E10&gt;=N$4),"■","")</f>
        <v/>
      </c>
      <c r="O10" s="10" t="str">
        <f aca="false">IF(AND($D10&lt;=O$5,$E10&gt;=O$4),"■","")</f>
        <v/>
      </c>
      <c r="P10" s="10" t="str">
        <f aca="false">IF(AND($D10&lt;=P$5,$E10&gt;=P$4),"■","")</f>
        <v/>
      </c>
      <c r="Q10" s="10" t="str">
        <f aca="false">IF(AND($D10&lt;=Q$5,$E10&gt;=Q$4),"■","")</f>
        <v/>
      </c>
      <c r="R10" s="10" t="str">
        <f aca="false">IF(AND($D10&lt;=R$5,$E10&gt;=R$4),"■","")</f>
        <v/>
      </c>
      <c r="S10" s="10" t="str">
        <f aca="false">IF(AND($D10&lt;=S$5,$E10&gt;=S$4),"■","")</f>
        <v/>
      </c>
      <c r="T10" s="10" t="str">
        <f aca="false">IF(AND($D10&lt;=T$5,$E10&gt;=T$4),"■","")</f>
        <v/>
      </c>
      <c r="U10" s="10" t="str">
        <f aca="false">IF(AND($D10&lt;=U$5,$E10&gt;=U$4),"■","")</f>
        <v/>
      </c>
      <c r="V10" s="10" t="str">
        <f aca="false">IF(AND($D10&lt;=V$5,$E10&gt;=V$4),"■","")</f>
        <v/>
      </c>
      <c r="W10" s="10" t="str">
        <f aca="false">IF(AND($D10&lt;=W$5,$E10&gt;=W$4),"■","")</f>
        <v/>
      </c>
    </row>
    <row r="11" customFormat="false" ht="35.05" hidden="false" customHeight="false" outlineLevel="0" collapsed="false">
      <c r="A11" s="4" t="s">
        <v>91</v>
      </c>
      <c r="B11" s="4" t="s">
        <v>92</v>
      </c>
      <c r="C11" s="4" t="s">
        <v>93</v>
      </c>
      <c r="D11" s="9" t="n">
        <v>7</v>
      </c>
      <c r="E11" s="9" t="n">
        <v>30</v>
      </c>
      <c r="F11" s="4" t="s">
        <v>94</v>
      </c>
      <c r="G11" s="4" t="s">
        <v>95</v>
      </c>
      <c r="H11" s="4" t="s">
        <v>96</v>
      </c>
      <c r="I11" s="10" t="str">
        <f aca="false">IF(AND($D11&lt;=I$5,$E11&gt;=I$4),"■","")</f>
        <v/>
      </c>
      <c r="J11" s="10" t="str">
        <f aca="false">IF(AND($D11&lt;=J$5,$E11&gt;=J$4),"■","")</f>
        <v/>
      </c>
      <c r="K11" s="10" t="str">
        <f aca="false">IF(AND($D11&lt;=K$5,$E11&gt;=K$4),"■","")</f>
        <v>■</v>
      </c>
      <c r="L11" s="10" t="str">
        <f aca="false">IF(AND($D11&lt;=L$5,$E11&gt;=L$4),"■","")</f>
        <v>■</v>
      </c>
      <c r="M11" s="10" t="str">
        <f aca="false">IF(AND($D11&lt;=M$5,$E11&gt;=M$4),"■","")</f>
        <v>■</v>
      </c>
      <c r="N11" s="10" t="str">
        <f aca="false">IF(AND($D11&lt;=N$5,$E11&gt;=N$4),"■","")</f>
        <v>■</v>
      </c>
      <c r="O11" s="10" t="str">
        <f aca="false">IF(AND($D11&lt;=O$5,$E11&gt;=O$4),"■","")</f>
        <v/>
      </c>
      <c r="P11" s="10" t="str">
        <f aca="false">IF(AND($D11&lt;=P$5,$E11&gt;=P$4),"■","")</f>
        <v/>
      </c>
      <c r="Q11" s="10" t="str">
        <f aca="false">IF(AND($D11&lt;=Q$5,$E11&gt;=Q$4),"■","")</f>
        <v/>
      </c>
      <c r="R11" s="10" t="str">
        <f aca="false">IF(AND($D11&lt;=R$5,$E11&gt;=R$4),"■","")</f>
        <v/>
      </c>
      <c r="S11" s="10" t="str">
        <f aca="false">IF(AND($D11&lt;=S$5,$E11&gt;=S$4),"■","")</f>
        <v/>
      </c>
      <c r="T11" s="10" t="str">
        <f aca="false">IF(AND($D11&lt;=T$5,$E11&gt;=T$4),"■","")</f>
        <v/>
      </c>
      <c r="U11" s="10" t="str">
        <f aca="false">IF(AND($D11&lt;=U$5,$E11&gt;=U$4),"■","")</f>
        <v/>
      </c>
      <c r="V11" s="10" t="str">
        <f aca="false">IF(AND($D11&lt;=V$5,$E11&gt;=V$4),"■","")</f>
        <v/>
      </c>
      <c r="W11" s="10" t="str">
        <f aca="false">IF(AND($D11&lt;=W$5,$E11&gt;=W$4),"■","")</f>
        <v/>
      </c>
    </row>
    <row r="12" customFormat="false" ht="23.85" hidden="false" customHeight="false" outlineLevel="0" collapsed="false">
      <c r="A12" s="4" t="s">
        <v>97</v>
      </c>
      <c r="B12" s="4" t="s">
        <v>98</v>
      </c>
      <c r="C12" s="4" t="s">
        <v>99</v>
      </c>
      <c r="D12" s="9" t="n">
        <v>21</v>
      </c>
      <c r="E12" s="9" t="n">
        <v>75</v>
      </c>
      <c r="F12" s="4" t="s">
        <v>100</v>
      </c>
      <c r="G12" s="4" t="s">
        <v>101</v>
      </c>
      <c r="H12" s="4" t="s">
        <v>102</v>
      </c>
      <c r="I12" s="10" t="str">
        <f aca="false">IF(AND($D12&lt;=I$5,$E12&gt;=I$4),"■","")</f>
        <v/>
      </c>
      <c r="J12" s="10" t="str">
        <f aca="false">IF(AND($D12&lt;=J$5,$E12&gt;=J$4),"■","")</f>
        <v/>
      </c>
      <c r="K12" s="10" t="str">
        <f aca="false">IF(AND($D12&lt;=K$5,$E12&gt;=K$4),"■","")</f>
        <v/>
      </c>
      <c r="L12" s="10" t="str">
        <f aca="false">IF(AND($D12&lt;=L$5,$E12&gt;=L$4),"■","")</f>
        <v/>
      </c>
      <c r="M12" s="10" t="str">
        <f aca="false">IF(AND($D12&lt;=M$5,$E12&gt;=M$4),"■","")</f>
        <v>■</v>
      </c>
      <c r="N12" s="10" t="str">
        <f aca="false">IF(AND($D12&lt;=N$5,$E12&gt;=N$4),"■","")</f>
        <v>■</v>
      </c>
      <c r="O12" s="10" t="str">
        <f aca="false">IF(AND($D12&lt;=O$5,$E12&gt;=O$4),"■","")</f>
        <v>■</v>
      </c>
      <c r="P12" s="10" t="str">
        <f aca="false">IF(AND($D12&lt;=P$5,$E12&gt;=P$4),"■","")</f>
        <v>■</v>
      </c>
      <c r="Q12" s="10" t="str">
        <f aca="false">IF(AND($D12&lt;=Q$5,$E12&gt;=Q$4),"■","")</f>
        <v>■</v>
      </c>
      <c r="R12" s="10" t="str">
        <f aca="false">IF(AND($D12&lt;=R$5,$E12&gt;=R$4),"■","")</f>
        <v>■</v>
      </c>
      <c r="S12" s="10" t="str">
        <f aca="false">IF(AND($D12&lt;=S$5,$E12&gt;=S$4),"■","")</f>
        <v>■</v>
      </c>
      <c r="T12" s="10" t="str">
        <f aca="false">IF(AND($D12&lt;=T$5,$E12&gt;=T$4),"■","")</f>
        <v>■</v>
      </c>
      <c r="U12" s="10" t="str">
        <f aca="false">IF(AND($D12&lt;=U$5,$E12&gt;=U$4),"■","")</f>
        <v/>
      </c>
      <c r="V12" s="10" t="str">
        <f aca="false">IF(AND($D12&lt;=V$5,$E12&gt;=V$4),"■","")</f>
        <v/>
      </c>
      <c r="W12" s="10" t="str">
        <f aca="false">IF(AND($D12&lt;=W$5,$E12&gt;=W$4),"■","")</f>
        <v/>
      </c>
    </row>
    <row r="13" customFormat="false" ht="23.85" hidden="false" customHeight="false" outlineLevel="0" collapsed="false">
      <c r="A13" s="4" t="s">
        <v>103</v>
      </c>
      <c r="B13" s="4" t="s">
        <v>104</v>
      </c>
      <c r="C13" s="4" t="s">
        <v>105</v>
      </c>
      <c r="D13" s="9" t="n">
        <v>14</v>
      </c>
      <c r="E13" s="9" t="n">
        <v>85</v>
      </c>
      <c r="F13" s="4" t="s">
        <v>106</v>
      </c>
      <c r="G13" s="4" t="s">
        <v>107</v>
      </c>
      <c r="H13" s="4" t="s">
        <v>108</v>
      </c>
      <c r="I13" s="10" t="str">
        <f aca="false">IF(AND($D13&lt;=I$5,$E13&gt;=I$4),"■","")</f>
        <v/>
      </c>
      <c r="J13" s="10" t="str">
        <f aca="false">IF(AND($D13&lt;=J$5,$E13&gt;=J$4),"■","")</f>
        <v/>
      </c>
      <c r="K13" s="10" t="str">
        <f aca="false">IF(AND($D13&lt;=K$5,$E13&gt;=K$4),"■","")</f>
        <v/>
      </c>
      <c r="L13" s="10" t="str">
        <f aca="false">IF(AND($D13&lt;=L$5,$E13&gt;=L$4),"■","")</f>
        <v>■</v>
      </c>
      <c r="M13" s="10" t="str">
        <f aca="false">IF(AND($D13&lt;=M$5,$E13&gt;=M$4),"■","")</f>
        <v>■</v>
      </c>
      <c r="N13" s="10" t="str">
        <f aca="false">IF(AND($D13&lt;=N$5,$E13&gt;=N$4),"■","")</f>
        <v>■</v>
      </c>
      <c r="O13" s="10" t="str">
        <f aca="false">IF(AND($D13&lt;=O$5,$E13&gt;=O$4),"■","")</f>
        <v>■</v>
      </c>
      <c r="P13" s="10" t="str">
        <f aca="false">IF(AND($D13&lt;=P$5,$E13&gt;=P$4),"■","")</f>
        <v>■</v>
      </c>
      <c r="Q13" s="10" t="str">
        <f aca="false">IF(AND($D13&lt;=Q$5,$E13&gt;=Q$4),"■","")</f>
        <v>■</v>
      </c>
      <c r="R13" s="10" t="str">
        <f aca="false">IF(AND($D13&lt;=R$5,$E13&gt;=R$4),"■","")</f>
        <v>■</v>
      </c>
      <c r="S13" s="10" t="str">
        <f aca="false">IF(AND($D13&lt;=S$5,$E13&gt;=S$4),"■","")</f>
        <v>■</v>
      </c>
      <c r="T13" s="10" t="str">
        <f aca="false">IF(AND($D13&lt;=T$5,$E13&gt;=T$4),"■","")</f>
        <v>■</v>
      </c>
      <c r="U13" s="10" t="str">
        <f aca="false">IF(AND($D13&lt;=U$5,$E13&gt;=U$4),"■","")</f>
        <v>■</v>
      </c>
      <c r="V13" s="10" t="str">
        <f aca="false">IF(AND($D13&lt;=V$5,$E13&gt;=V$4),"■","")</f>
        <v>■</v>
      </c>
      <c r="W13" s="10" t="str">
        <f aca="false">IF(AND($D13&lt;=W$5,$E13&gt;=W$4),"■","")</f>
        <v/>
      </c>
    </row>
    <row r="14" customFormat="false" ht="35.05" hidden="false" customHeight="false" outlineLevel="0" collapsed="false">
      <c r="A14" s="4" t="s">
        <v>109</v>
      </c>
      <c r="B14" s="4" t="s">
        <v>110</v>
      </c>
      <c r="C14" s="4" t="s">
        <v>111</v>
      </c>
      <c r="D14" s="9" t="n">
        <v>7</v>
      </c>
      <c r="E14" s="9" t="n">
        <v>90</v>
      </c>
      <c r="F14" s="4" t="s">
        <v>112</v>
      </c>
      <c r="G14" s="4" t="s">
        <v>113</v>
      </c>
      <c r="H14" s="4" t="s">
        <v>114</v>
      </c>
      <c r="I14" s="10" t="str">
        <f aca="false">IF(AND($D14&lt;=I$5,$E14&gt;=I$4),"■","")</f>
        <v/>
      </c>
      <c r="J14" s="10" t="str">
        <f aca="false">IF(AND($D14&lt;=J$5,$E14&gt;=J$4),"■","")</f>
        <v/>
      </c>
      <c r="K14" s="10" t="str">
        <f aca="false">IF(AND($D14&lt;=K$5,$E14&gt;=K$4),"■","")</f>
        <v>■</v>
      </c>
      <c r="L14" s="10" t="str">
        <f aca="false">IF(AND($D14&lt;=L$5,$E14&gt;=L$4),"■","")</f>
        <v>■</v>
      </c>
      <c r="M14" s="10" t="str">
        <f aca="false">IF(AND($D14&lt;=M$5,$E14&gt;=M$4),"■","")</f>
        <v>■</v>
      </c>
      <c r="N14" s="10" t="str">
        <f aca="false">IF(AND($D14&lt;=N$5,$E14&gt;=N$4),"■","")</f>
        <v>■</v>
      </c>
      <c r="O14" s="10" t="str">
        <f aca="false">IF(AND($D14&lt;=O$5,$E14&gt;=O$4),"■","")</f>
        <v>■</v>
      </c>
      <c r="P14" s="10" t="str">
        <f aca="false">IF(AND($D14&lt;=P$5,$E14&gt;=P$4),"■","")</f>
        <v>■</v>
      </c>
      <c r="Q14" s="10" t="str">
        <f aca="false">IF(AND($D14&lt;=Q$5,$E14&gt;=Q$4),"■","")</f>
        <v>■</v>
      </c>
      <c r="R14" s="10" t="str">
        <f aca="false">IF(AND($D14&lt;=R$5,$E14&gt;=R$4),"■","")</f>
        <v>■</v>
      </c>
      <c r="S14" s="10" t="str">
        <f aca="false">IF(AND($D14&lt;=S$5,$E14&gt;=S$4),"■","")</f>
        <v>■</v>
      </c>
      <c r="T14" s="10" t="str">
        <f aca="false">IF(AND($D14&lt;=T$5,$E14&gt;=T$4),"■","")</f>
        <v>■</v>
      </c>
      <c r="U14" s="10" t="str">
        <f aca="false">IF(AND($D14&lt;=U$5,$E14&gt;=U$4),"■","")</f>
        <v>■</v>
      </c>
      <c r="V14" s="10" t="str">
        <f aca="false">IF(AND($D14&lt;=V$5,$E14&gt;=V$4),"■","")</f>
        <v>■</v>
      </c>
      <c r="W14" s="10" t="str">
        <f aca="false">IF(AND($D14&lt;=W$5,$E14&gt;=W$4),"■","")</f>
        <v/>
      </c>
    </row>
    <row r="15" customFormat="false" ht="23.85" hidden="false" customHeight="false" outlineLevel="0" collapsed="false">
      <c r="A15" s="4" t="s">
        <v>115</v>
      </c>
      <c r="B15" s="4" t="s">
        <v>116</v>
      </c>
      <c r="C15" s="4" t="s">
        <v>117</v>
      </c>
      <c r="D15" s="9" t="n">
        <v>60</v>
      </c>
      <c r="E15" s="9" t="n">
        <v>90</v>
      </c>
      <c r="F15" s="4" t="s">
        <v>118</v>
      </c>
      <c r="G15" s="4" t="s">
        <v>119</v>
      </c>
      <c r="H15" s="4" t="s">
        <v>120</v>
      </c>
      <c r="I15" s="10" t="str">
        <f aca="false">IF(AND($D15&lt;=I$5,$E15&gt;=I$4),"■","")</f>
        <v/>
      </c>
      <c r="J15" s="10" t="str">
        <f aca="false">IF(AND($D15&lt;=J$5,$E15&gt;=J$4),"■","")</f>
        <v/>
      </c>
      <c r="K15" s="10" t="str">
        <f aca="false">IF(AND($D15&lt;=K$5,$E15&gt;=K$4),"■","")</f>
        <v/>
      </c>
      <c r="L15" s="10" t="str">
        <f aca="false">IF(AND($D15&lt;=L$5,$E15&gt;=L$4),"■","")</f>
        <v/>
      </c>
      <c r="M15" s="10" t="str">
        <f aca="false">IF(AND($D15&lt;=M$5,$E15&gt;=M$4),"■","")</f>
        <v/>
      </c>
      <c r="N15" s="10" t="str">
        <f aca="false">IF(AND($D15&lt;=N$5,$E15&gt;=N$4),"■","")</f>
        <v/>
      </c>
      <c r="O15" s="10" t="str">
        <f aca="false">IF(AND($D15&lt;=O$5,$E15&gt;=O$4),"■","")</f>
        <v/>
      </c>
      <c r="P15" s="10" t="str">
        <f aca="false">IF(AND($D15&lt;=P$5,$E15&gt;=P$4),"■","")</f>
        <v/>
      </c>
      <c r="Q15" s="10" t="str">
        <f aca="false">IF(AND($D15&lt;=Q$5,$E15&gt;=Q$4),"■","")</f>
        <v/>
      </c>
      <c r="R15" s="10" t="str">
        <f aca="false">IF(AND($D15&lt;=R$5,$E15&gt;=R$4),"■","")</f>
        <v>■</v>
      </c>
      <c r="S15" s="10" t="str">
        <f aca="false">IF(AND($D15&lt;=S$5,$E15&gt;=S$4),"■","")</f>
        <v>■</v>
      </c>
      <c r="T15" s="10" t="str">
        <f aca="false">IF(AND($D15&lt;=T$5,$E15&gt;=T$4),"■","")</f>
        <v>■</v>
      </c>
      <c r="U15" s="10" t="str">
        <f aca="false">IF(AND($D15&lt;=U$5,$E15&gt;=U$4),"■","")</f>
        <v>■</v>
      </c>
      <c r="V15" s="10" t="str">
        <f aca="false">IF(AND($D15&lt;=V$5,$E15&gt;=V$4),"■","")</f>
        <v>■</v>
      </c>
      <c r="W15" s="10" t="str">
        <f aca="false">IF(AND($D15&lt;=W$5,$E15&gt;=W$4),"■","")</f>
        <v/>
      </c>
    </row>
    <row r="16" customFormat="false" ht="23.85" hidden="false" customHeight="false" outlineLevel="0" collapsed="false">
      <c r="A16" s="4" t="s">
        <v>121</v>
      </c>
      <c r="B16" s="4" t="s">
        <v>122</v>
      </c>
      <c r="C16" s="4" t="s">
        <v>123</v>
      </c>
      <c r="D16" s="9" t="n">
        <v>90</v>
      </c>
      <c r="E16" s="9" t="n">
        <v>365</v>
      </c>
      <c r="F16" s="4" t="s">
        <v>124</v>
      </c>
      <c r="G16" s="4" t="s">
        <v>125</v>
      </c>
      <c r="H16" s="4" t="s">
        <v>126</v>
      </c>
      <c r="I16" s="10" t="str">
        <f aca="false">IF(AND($D16&lt;=I$5,$E16&gt;=I$4),"■","")</f>
        <v/>
      </c>
      <c r="J16" s="10" t="str">
        <f aca="false">IF(AND($D16&lt;=J$5,$E16&gt;=J$4),"■","")</f>
        <v/>
      </c>
      <c r="K16" s="10" t="str">
        <f aca="false">IF(AND($D16&lt;=K$5,$E16&gt;=K$4),"■","")</f>
        <v/>
      </c>
      <c r="L16" s="10" t="str">
        <f aca="false">IF(AND($D16&lt;=L$5,$E16&gt;=L$4),"■","")</f>
        <v/>
      </c>
      <c r="M16" s="10" t="str">
        <f aca="false">IF(AND($D16&lt;=M$5,$E16&gt;=M$4),"■","")</f>
        <v/>
      </c>
      <c r="N16" s="10" t="str">
        <f aca="false">IF(AND($D16&lt;=N$5,$E16&gt;=N$4),"■","")</f>
        <v/>
      </c>
      <c r="O16" s="10" t="str">
        <f aca="false">IF(AND($D16&lt;=O$5,$E16&gt;=O$4),"■","")</f>
        <v/>
      </c>
      <c r="P16" s="10" t="str">
        <f aca="false">IF(AND($D16&lt;=P$5,$E16&gt;=P$4),"■","")</f>
        <v/>
      </c>
      <c r="Q16" s="10" t="str">
        <f aca="false">IF(AND($D16&lt;=Q$5,$E16&gt;=Q$4),"■","")</f>
        <v/>
      </c>
      <c r="R16" s="10" t="str">
        <f aca="false">IF(AND($D16&lt;=R$5,$E16&gt;=R$4),"■","")</f>
        <v/>
      </c>
      <c r="S16" s="10" t="str">
        <f aca="false">IF(AND($D16&lt;=S$5,$E16&gt;=S$4),"■","")</f>
        <v/>
      </c>
      <c r="T16" s="10" t="str">
        <f aca="false">IF(AND($D16&lt;=T$5,$E16&gt;=T$4),"■","")</f>
        <v/>
      </c>
      <c r="U16" s="10" t="str">
        <f aca="false">IF(AND($D16&lt;=U$5,$E16&gt;=U$4),"■","")</f>
        <v/>
      </c>
      <c r="V16" s="10" t="str">
        <f aca="false">IF(AND($D16&lt;=V$5,$E16&gt;=V$4),"■","")</f>
        <v>■</v>
      </c>
      <c r="W16" s="10" t="str">
        <f aca="false">IF(AND($D16&lt;=W$5,$E16&gt;=W$4),"■","")</f>
        <v>■</v>
      </c>
    </row>
  </sheetData>
  <conditionalFormatting sqref="I7:W16">
    <cfRule type="cellIs" priority="2" operator="equal" aboveAverage="0" equalAverage="0" bottom="0" percent="0" rank="0" text="" dxfId="0">
      <formula>"■"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AA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2" min="11" style="0" width="26"/>
    <col collapsed="false" customWidth="true" hidden="false" outlineLevel="0" max="27" min="13" style="0" width="5.51"/>
  </cols>
  <sheetData>
    <row r="1" customFormat="false" ht="17.35" hidden="false" customHeight="false" outlineLevel="0" collapsed="false">
      <c r="A1" s="1" t="s">
        <v>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M4" s="8" t="n">
        <v>-60</v>
      </c>
      <c r="N4" s="8" t="n">
        <v>0</v>
      </c>
      <c r="O4" s="8" t="n">
        <v>7</v>
      </c>
      <c r="P4" s="8" t="n">
        <v>14</v>
      </c>
      <c r="Q4" s="8" t="n">
        <v>21</v>
      </c>
      <c r="R4" s="8" t="n">
        <v>28</v>
      </c>
      <c r="S4" s="8" t="n">
        <v>35</v>
      </c>
      <c r="T4" s="8" t="n">
        <v>42</v>
      </c>
      <c r="U4" s="8" t="n">
        <v>49</v>
      </c>
      <c r="V4" s="8" t="n">
        <v>56</v>
      </c>
      <c r="W4" s="8" t="n">
        <v>63</v>
      </c>
      <c r="X4" s="8" t="n">
        <v>70</v>
      </c>
      <c r="Y4" s="8" t="n">
        <v>77</v>
      </c>
      <c r="Z4" s="8" t="n">
        <v>84</v>
      </c>
      <c r="AA4" s="8" t="n">
        <v>91</v>
      </c>
    </row>
    <row r="5" customFormat="false" ht="15" hidden="false" customHeight="false" outlineLevel="0" collapsed="false">
      <c r="M5" s="8" t="n">
        <v>-1</v>
      </c>
      <c r="N5" s="8" t="n">
        <v>6</v>
      </c>
      <c r="O5" s="8" t="n">
        <v>13</v>
      </c>
      <c r="P5" s="8" t="n">
        <v>20</v>
      </c>
      <c r="Q5" s="8" t="n">
        <v>27</v>
      </c>
      <c r="R5" s="8" t="n">
        <v>34</v>
      </c>
      <c r="S5" s="8" t="n">
        <v>41</v>
      </c>
      <c r="T5" s="8" t="n">
        <v>48</v>
      </c>
      <c r="U5" s="8" t="n">
        <v>55</v>
      </c>
      <c r="V5" s="8" t="n">
        <v>62</v>
      </c>
      <c r="W5" s="8" t="n">
        <v>69</v>
      </c>
      <c r="X5" s="8" t="n">
        <v>76</v>
      </c>
      <c r="Y5" s="8" t="n">
        <v>83</v>
      </c>
      <c r="Z5" s="8" t="n">
        <v>90</v>
      </c>
      <c r="AA5" s="8" t="n">
        <v>400</v>
      </c>
    </row>
    <row r="6" customFormat="false" ht="30" hidden="false" customHeight="true" outlineLevel="0" collapsed="false">
      <c r="A6" s="3" t="s">
        <v>128</v>
      </c>
      <c r="B6" s="3" t="s">
        <v>44</v>
      </c>
      <c r="C6" s="3" t="s">
        <v>129</v>
      </c>
      <c r="D6" s="3" t="s">
        <v>130</v>
      </c>
      <c r="E6" s="3" t="s">
        <v>131</v>
      </c>
      <c r="F6" s="3" t="s">
        <v>132</v>
      </c>
      <c r="G6" s="3" t="s">
        <v>47</v>
      </c>
      <c r="H6" s="3" t="s">
        <v>133</v>
      </c>
      <c r="I6" s="3" t="s">
        <v>134</v>
      </c>
      <c r="J6" s="3" t="s">
        <v>135</v>
      </c>
      <c r="K6" s="3" t="s">
        <v>136</v>
      </c>
      <c r="L6" s="3" t="s">
        <v>32</v>
      </c>
      <c r="M6" s="3" t="s">
        <v>52</v>
      </c>
      <c r="N6" s="3" t="s">
        <v>53</v>
      </c>
      <c r="O6" s="3" t="s">
        <v>54</v>
      </c>
      <c r="P6" s="3" t="s">
        <v>55</v>
      </c>
      <c r="Q6" s="3" t="s">
        <v>56</v>
      </c>
      <c r="R6" s="3" t="s">
        <v>57</v>
      </c>
      <c r="S6" s="3" t="s">
        <v>58</v>
      </c>
      <c r="T6" s="3" t="s">
        <v>59</v>
      </c>
      <c r="U6" s="3" t="s">
        <v>60</v>
      </c>
      <c r="V6" s="3" t="s">
        <v>61</v>
      </c>
      <c r="W6" s="3" t="s">
        <v>62</v>
      </c>
      <c r="X6" s="3" t="s">
        <v>63</v>
      </c>
      <c r="Y6" s="3" t="s">
        <v>64</v>
      </c>
      <c r="Z6" s="3" t="s">
        <v>65</v>
      </c>
      <c r="AA6" s="3" t="s">
        <v>66</v>
      </c>
    </row>
    <row r="7" customFormat="false" ht="23.85" hidden="false" customHeight="false" outlineLevel="0" collapsed="false">
      <c r="A7" s="4" t="s">
        <v>137</v>
      </c>
      <c r="B7" s="4" t="s">
        <v>138</v>
      </c>
      <c r="C7" s="4" t="s">
        <v>139</v>
      </c>
      <c r="D7" s="4" t="s">
        <v>140</v>
      </c>
      <c r="E7" s="4" t="s">
        <v>30</v>
      </c>
      <c r="F7" s="11" t="s">
        <v>141</v>
      </c>
      <c r="G7" s="9" t="n">
        <v>-30</v>
      </c>
      <c r="H7" s="9" t="n">
        <v>-28</v>
      </c>
      <c r="I7" s="12" t="n">
        <f aca="false">H7-G7+1</f>
        <v>3</v>
      </c>
      <c r="J7" s="4"/>
      <c r="K7" s="4" t="s">
        <v>142</v>
      </c>
      <c r="L7" s="4" t="s">
        <v>143</v>
      </c>
      <c r="M7" s="10" t="str">
        <f aca="false">IF(AND($G7&lt;=M$5,$H7&gt;=M$4),"■","")</f>
        <v>■</v>
      </c>
      <c r="N7" s="10" t="str">
        <f aca="false">IF(AND($G7&lt;=N$5,$H7&gt;=N$4),"■","")</f>
        <v/>
      </c>
      <c r="O7" s="10" t="str">
        <f aca="false">IF(AND($G7&lt;=O$5,$H7&gt;=O$4),"■","")</f>
        <v/>
      </c>
      <c r="P7" s="10" t="str">
        <f aca="false">IF(AND($G7&lt;=P$5,$H7&gt;=P$4),"■","")</f>
        <v/>
      </c>
      <c r="Q7" s="10" t="str">
        <f aca="false">IF(AND($G7&lt;=Q$5,$H7&gt;=Q$4),"■","")</f>
        <v/>
      </c>
      <c r="R7" s="10" t="str">
        <f aca="false">IF(AND($G7&lt;=R$5,$H7&gt;=R$4),"■","")</f>
        <v/>
      </c>
      <c r="S7" s="10" t="str">
        <f aca="false">IF(AND($G7&lt;=S$5,$H7&gt;=S$4),"■","")</f>
        <v/>
      </c>
      <c r="T7" s="10" t="str">
        <f aca="false">IF(AND($G7&lt;=T$5,$H7&gt;=T$4),"■","")</f>
        <v/>
      </c>
      <c r="U7" s="10" t="str">
        <f aca="false">IF(AND($G7&lt;=U$5,$H7&gt;=U$4),"■","")</f>
        <v/>
      </c>
      <c r="V7" s="10" t="str">
        <f aca="false">IF(AND($G7&lt;=V$5,$H7&gt;=V$4),"■","")</f>
        <v/>
      </c>
      <c r="W7" s="10" t="str">
        <f aca="false">IF(AND($G7&lt;=W$5,$H7&gt;=W$4),"■","")</f>
        <v/>
      </c>
      <c r="X7" s="10" t="str">
        <f aca="false">IF(AND($G7&lt;=X$5,$H7&gt;=X$4),"■","")</f>
        <v/>
      </c>
      <c r="Y7" s="10" t="str">
        <f aca="false">IF(AND($G7&lt;=Y$5,$H7&gt;=Y$4),"■","")</f>
        <v/>
      </c>
      <c r="Z7" s="10" t="str">
        <f aca="false">IF(AND($G7&lt;=Z$5,$H7&gt;=Z$4),"■","")</f>
        <v/>
      </c>
      <c r="AA7" s="10" t="str">
        <f aca="false">IF(AND($G7&lt;=AA$5,$H7&gt;=AA$4),"■","")</f>
        <v/>
      </c>
    </row>
    <row r="8" customFormat="false" ht="35.05" hidden="false" customHeight="false" outlineLevel="0" collapsed="false">
      <c r="A8" s="4" t="s">
        <v>144</v>
      </c>
      <c r="B8" s="4" t="s">
        <v>138</v>
      </c>
      <c r="C8" s="4" t="s">
        <v>145</v>
      </c>
      <c r="D8" s="4" t="s">
        <v>146</v>
      </c>
      <c r="E8" s="4" t="s">
        <v>24</v>
      </c>
      <c r="F8" s="11" t="s">
        <v>141</v>
      </c>
      <c r="G8" s="9" t="n">
        <v>-25</v>
      </c>
      <c r="H8" s="9" t="n">
        <v>-21</v>
      </c>
      <c r="I8" s="12" t="n">
        <f aca="false">H8-G8+1</f>
        <v>5</v>
      </c>
      <c r="J8" s="4" t="s">
        <v>137</v>
      </c>
      <c r="K8" s="4" t="s">
        <v>147</v>
      </c>
      <c r="L8" s="4"/>
      <c r="M8" s="10" t="str">
        <f aca="false">IF(AND($G8&lt;=M$5,$H8&gt;=M$4),"■","")</f>
        <v>■</v>
      </c>
      <c r="N8" s="10" t="str">
        <f aca="false">IF(AND($G8&lt;=N$5,$H8&gt;=N$4),"■","")</f>
        <v/>
      </c>
      <c r="O8" s="10" t="str">
        <f aca="false">IF(AND($G8&lt;=O$5,$H8&gt;=O$4),"■","")</f>
        <v/>
      </c>
      <c r="P8" s="10" t="str">
        <f aca="false">IF(AND($G8&lt;=P$5,$H8&gt;=P$4),"■","")</f>
        <v/>
      </c>
      <c r="Q8" s="10" t="str">
        <f aca="false">IF(AND($G8&lt;=Q$5,$H8&gt;=Q$4),"■","")</f>
        <v/>
      </c>
      <c r="R8" s="10" t="str">
        <f aca="false">IF(AND($G8&lt;=R$5,$H8&gt;=R$4),"■","")</f>
        <v/>
      </c>
      <c r="S8" s="10" t="str">
        <f aca="false">IF(AND($G8&lt;=S$5,$H8&gt;=S$4),"■","")</f>
        <v/>
      </c>
      <c r="T8" s="10" t="str">
        <f aca="false">IF(AND($G8&lt;=T$5,$H8&gt;=T$4),"■","")</f>
        <v/>
      </c>
      <c r="U8" s="10" t="str">
        <f aca="false">IF(AND($G8&lt;=U$5,$H8&gt;=U$4),"■","")</f>
        <v/>
      </c>
      <c r="V8" s="10" t="str">
        <f aca="false">IF(AND($G8&lt;=V$5,$H8&gt;=V$4),"■","")</f>
        <v/>
      </c>
      <c r="W8" s="10" t="str">
        <f aca="false">IF(AND($G8&lt;=W$5,$H8&gt;=W$4),"■","")</f>
        <v/>
      </c>
      <c r="X8" s="10" t="str">
        <f aca="false">IF(AND($G8&lt;=X$5,$H8&gt;=X$4),"■","")</f>
        <v/>
      </c>
      <c r="Y8" s="10" t="str">
        <f aca="false">IF(AND($G8&lt;=Y$5,$H8&gt;=Y$4),"■","")</f>
        <v/>
      </c>
      <c r="Z8" s="10" t="str">
        <f aca="false">IF(AND($G8&lt;=Z$5,$H8&gt;=Z$4),"■","")</f>
        <v/>
      </c>
      <c r="AA8" s="10" t="str">
        <f aca="false">IF(AND($G8&lt;=AA$5,$H8&gt;=AA$4),"■","")</f>
        <v/>
      </c>
    </row>
    <row r="9" customFormat="false" ht="23.85" hidden="false" customHeight="false" outlineLevel="0" collapsed="false">
      <c r="A9" s="4" t="s">
        <v>148</v>
      </c>
      <c r="B9" s="4" t="s">
        <v>138</v>
      </c>
      <c r="C9" s="4" t="s">
        <v>149</v>
      </c>
      <c r="D9" s="4" t="s">
        <v>150</v>
      </c>
      <c r="E9" s="4" t="s">
        <v>24</v>
      </c>
      <c r="F9" s="11" t="s">
        <v>141</v>
      </c>
      <c r="G9" s="9" t="n">
        <v>-25</v>
      </c>
      <c r="H9" s="9" t="n">
        <v>-21</v>
      </c>
      <c r="I9" s="12" t="n">
        <f aca="false">H9-G9+1</f>
        <v>5</v>
      </c>
      <c r="J9" s="4" t="s">
        <v>144</v>
      </c>
      <c r="K9" s="4" t="s">
        <v>151</v>
      </c>
      <c r="L9" s="4"/>
      <c r="M9" s="10" t="str">
        <f aca="false">IF(AND($G9&lt;=M$5,$H9&gt;=M$4),"■","")</f>
        <v>■</v>
      </c>
      <c r="N9" s="10" t="str">
        <f aca="false">IF(AND($G9&lt;=N$5,$H9&gt;=N$4),"■","")</f>
        <v/>
      </c>
      <c r="O9" s="10" t="str">
        <f aca="false">IF(AND($G9&lt;=O$5,$H9&gt;=O$4),"■","")</f>
        <v/>
      </c>
      <c r="P9" s="10" t="str">
        <f aca="false">IF(AND($G9&lt;=P$5,$H9&gt;=P$4),"■","")</f>
        <v/>
      </c>
      <c r="Q9" s="10" t="str">
        <f aca="false">IF(AND($G9&lt;=Q$5,$H9&gt;=Q$4),"■","")</f>
        <v/>
      </c>
      <c r="R9" s="10" t="str">
        <f aca="false">IF(AND($G9&lt;=R$5,$H9&gt;=R$4),"■","")</f>
        <v/>
      </c>
      <c r="S9" s="10" t="str">
        <f aca="false">IF(AND($G9&lt;=S$5,$H9&gt;=S$4),"■","")</f>
        <v/>
      </c>
      <c r="T9" s="10" t="str">
        <f aca="false">IF(AND($G9&lt;=T$5,$H9&gt;=T$4),"■","")</f>
        <v/>
      </c>
      <c r="U9" s="10" t="str">
        <f aca="false">IF(AND($G9&lt;=U$5,$H9&gt;=U$4),"■","")</f>
        <v/>
      </c>
      <c r="V9" s="10" t="str">
        <f aca="false">IF(AND($G9&lt;=V$5,$H9&gt;=V$4),"■","")</f>
        <v/>
      </c>
      <c r="W9" s="10" t="str">
        <f aca="false">IF(AND($G9&lt;=W$5,$H9&gt;=W$4),"■","")</f>
        <v/>
      </c>
      <c r="X9" s="10" t="str">
        <f aca="false">IF(AND($G9&lt;=X$5,$H9&gt;=X$4),"■","")</f>
        <v/>
      </c>
      <c r="Y9" s="10" t="str">
        <f aca="false">IF(AND($G9&lt;=Y$5,$H9&gt;=Y$4),"■","")</f>
        <v/>
      </c>
      <c r="Z9" s="10" t="str">
        <f aca="false">IF(AND($G9&lt;=Z$5,$H9&gt;=Z$4),"■","")</f>
        <v/>
      </c>
      <c r="AA9" s="10" t="str">
        <f aca="false">IF(AND($G9&lt;=AA$5,$H9&gt;=AA$4),"■","")</f>
        <v/>
      </c>
    </row>
    <row r="10" customFormat="false" ht="35.05" hidden="false" customHeight="false" outlineLevel="0" collapsed="false">
      <c r="A10" s="4" t="s">
        <v>152</v>
      </c>
      <c r="B10" s="4" t="s">
        <v>138</v>
      </c>
      <c r="C10" s="4" t="s">
        <v>153</v>
      </c>
      <c r="D10" s="4" t="s">
        <v>154</v>
      </c>
      <c r="E10" s="4" t="s">
        <v>34</v>
      </c>
      <c r="F10" s="11" t="s">
        <v>155</v>
      </c>
      <c r="G10" s="9" t="n">
        <v>-21</v>
      </c>
      <c r="H10" s="9" t="n">
        <v>-14</v>
      </c>
      <c r="I10" s="12" t="n">
        <f aca="false">H10-G10+1</f>
        <v>8</v>
      </c>
      <c r="J10" s="4" t="s">
        <v>144</v>
      </c>
      <c r="K10" s="4" t="s">
        <v>156</v>
      </c>
      <c r="L10" s="4" t="s">
        <v>157</v>
      </c>
      <c r="M10" s="10" t="str">
        <f aca="false">IF(AND($G10&lt;=M$5,$H10&gt;=M$4),"■","")</f>
        <v>■</v>
      </c>
      <c r="N10" s="10" t="str">
        <f aca="false">IF(AND($G10&lt;=N$5,$H10&gt;=N$4),"■","")</f>
        <v/>
      </c>
      <c r="O10" s="10" t="str">
        <f aca="false">IF(AND($G10&lt;=O$5,$H10&gt;=O$4),"■","")</f>
        <v/>
      </c>
      <c r="P10" s="10" t="str">
        <f aca="false">IF(AND($G10&lt;=P$5,$H10&gt;=P$4),"■","")</f>
        <v/>
      </c>
      <c r="Q10" s="10" t="str">
        <f aca="false">IF(AND($G10&lt;=Q$5,$H10&gt;=Q$4),"■","")</f>
        <v/>
      </c>
      <c r="R10" s="10" t="str">
        <f aca="false">IF(AND($G10&lt;=R$5,$H10&gt;=R$4),"■","")</f>
        <v/>
      </c>
      <c r="S10" s="10" t="str">
        <f aca="false">IF(AND($G10&lt;=S$5,$H10&gt;=S$4),"■","")</f>
        <v/>
      </c>
      <c r="T10" s="10" t="str">
        <f aca="false">IF(AND($G10&lt;=T$5,$H10&gt;=T$4),"■","")</f>
        <v/>
      </c>
      <c r="U10" s="10" t="str">
        <f aca="false">IF(AND($G10&lt;=U$5,$H10&gt;=U$4),"■","")</f>
        <v/>
      </c>
      <c r="V10" s="10" t="str">
        <f aca="false">IF(AND($G10&lt;=V$5,$H10&gt;=V$4),"■","")</f>
        <v/>
      </c>
      <c r="W10" s="10" t="str">
        <f aca="false">IF(AND($G10&lt;=W$5,$H10&gt;=W$4),"■","")</f>
        <v/>
      </c>
      <c r="X10" s="10" t="str">
        <f aca="false">IF(AND($G10&lt;=X$5,$H10&gt;=X$4),"■","")</f>
        <v/>
      </c>
      <c r="Y10" s="10" t="str">
        <f aca="false">IF(AND($G10&lt;=Y$5,$H10&gt;=Y$4),"■","")</f>
        <v/>
      </c>
      <c r="Z10" s="10" t="str">
        <f aca="false">IF(AND($G10&lt;=Z$5,$H10&gt;=Z$4),"■","")</f>
        <v/>
      </c>
      <c r="AA10" s="10" t="str">
        <f aca="false">IF(AND($G10&lt;=AA$5,$H10&gt;=AA$4),"■","")</f>
        <v/>
      </c>
    </row>
    <row r="11" customFormat="false" ht="15" hidden="false" customHeight="false" outlineLevel="0" collapsed="false">
      <c r="A11" s="4" t="s">
        <v>158</v>
      </c>
      <c r="B11" s="4" t="s">
        <v>138</v>
      </c>
      <c r="C11" s="4" t="s">
        <v>159</v>
      </c>
      <c r="D11" s="4" t="s">
        <v>160</v>
      </c>
      <c r="E11" s="4" t="s">
        <v>24</v>
      </c>
      <c r="F11" s="11" t="s">
        <v>141</v>
      </c>
      <c r="G11" s="9" t="n">
        <v>-14</v>
      </c>
      <c r="H11" s="9" t="n">
        <v>-10</v>
      </c>
      <c r="I11" s="12" t="n">
        <f aca="false">H11-G11+1</f>
        <v>5</v>
      </c>
      <c r="J11" s="4" t="s">
        <v>152</v>
      </c>
      <c r="K11" s="4" t="s">
        <v>161</v>
      </c>
      <c r="L11" s="4"/>
      <c r="M11" s="10" t="str">
        <f aca="false">IF(AND($G11&lt;=M$5,$H11&gt;=M$4),"■","")</f>
        <v>■</v>
      </c>
      <c r="N11" s="10" t="str">
        <f aca="false">IF(AND($G11&lt;=N$5,$H11&gt;=N$4),"■","")</f>
        <v/>
      </c>
      <c r="O11" s="10" t="str">
        <f aca="false">IF(AND($G11&lt;=O$5,$H11&gt;=O$4),"■","")</f>
        <v/>
      </c>
      <c r="P11" s="10" t="str">
        <f aca="false">IF(AND($G11&lt;=P$5,$H11&gt;=P$4),"■","")</f>
        <v/>
      </c>
      <c r="Q11" s="10" t="str">
        <f aca="false">IF(AND($G11&lt;=Q$5,$H11&gt;=Q$4),"■","")</f>
        <v/>
      </c>
      <c r="R11" s="10" t="str">
        <f aca="false">IF(AND($G11&lt;=R$5,$H11&gt;=R$4),"■","")</f>
        <v/>
      </c>
      <c r="S11" s="10" t="str">
        <f aca="false">IF(AND($G11&lt;=S$5,$H11&gt;=S$4),"■","")</f>
        <v/>
      </c>
      <c r="T11" s="10" t="str">
        <f aca="false">IF(AND($G11&lt;=T$5,$H11&gt;=T$4),"■","")</f>
        <v/>
      </c>
      <c r="U11" s="10" t="str">
        <f aca="false">IF(AND($G11&lt;=U$5,$H11&gt;=U$4),"■","")</f>
        <v/>
      </c>
      <c r="V11" s="10" t="str">
        <f aca="false">IF(AND($G11&lt;=V$5,$H11&gt;=V$4),"■","")</f>
        <v/>
      </c>
      <c r="W11" s="10" t="str">
        <f aca="false">IF(AND($G11&lt;=W$5,$H11&gt;=W$4),"■","")</f>
        <v/>
      </c>
      <c r="X11" s="10" t="str">
        <f aca="false">IF(AND($G11&lt;=X$5,$H11&gt;=X$4),"■","")</f>
        <v/>
      </c>
      <c r="Y11" s="10" t="str">
        <f aca="false">IF(AND($G11&lt;=Y$5,$H11&gt;=Y$4),"■","")</f>
        <v/>
      </c>
      <c r="Z11" s="10" t="str">
        <f aca="false">IF(AND($G11&lt;=Z$5,$H11&gt;=Z$4),"■","")</f>
        <v/>
      </c>
      <c r="AA11" s="10" t="str">
        <f aca="false">IF(AND($G11&lt;=AA$5,$H11&gt;=AA$4),"■","")</f>
        <v/>
      </c>
    </row>
    <row r="12" customFormat="false" ht="23.85" hidden="false" customHeight="false" outlineLevel="0" collapsed="false">
      <c r="A12" s="4" t="s">
        <v>162</v>
      </c>
      <c r="B12" s="4" t="s">
        <v>138</v>
      </c>
      <c r="C12" s="4" t="s">
        <v>163</v>
      </c>
      <c r="D12" s="4" t="s">
        <v>164</v>
      </c>
      <c r="E12" s="4" t="s">
        <v>24</v>
      </c>
      <c r="F12" s="11" t="s">
        <v>141</v>
      </c>
      <c r="G12" s="9" t="n">
        <v>-14</v>
      </c>
      <c r="H12" s="9" t="n">
        <v>-7</v>
      </c>
      <c r="I12" s="12" t="n">
        <f aca="false">H12-G12+1</f>
        <v>8</v>
      </c>
      <c r="J12" s="4" t="s">
        <v>158</v>
      </c>
      <c r="K12" s="4" t="s">
        <v>165</v>
      </c>
      <c r="L12" s="4"/>
      <c r="M12" s="10" t="str">
        <f aca="false">IF(AND($G12&lt;=M$5,$H12&gt;=M$4),"■","")</f>
        <v>■</v>
      </c>
      <c r="N12" s="10" t="str">
        <f aca="false">IF(AND($G12&lt;=N$5,$H12&gt;=N$4),"■","")</f>
        <v/>
      </c>
      <c r="O12" s="10" t="str">
        <f aca="false">IF(AND($G12&lt;=O$5,$H12&gt;=O$4),"■","")</f>
        <v/>
      </c>
      <c r="P12" s="10" t="str">
        <f aca="false">IF(AND($G12&lt;=P$5,$H12&gt;=P$4),"■","")</f>
        <v/>
      </c>
      <c r="Q12" s="10" t="str">
        <f aca="false">IF(AND($G12&lt;=Q$5,$H12&gt;=Q$4),"■","")</f>
        <v/>
      </c>
      <c r="R12" s="10" t="str">
        <f aca="false">IF(AND($G12&lt;=R$5,$H12&gt;=R$4),"■","")</f>
        <v/>
      </c>
      <c r="S12" s="10" t="str">
        <f aca="false">IF(AND($G12&lt;=S$5,$H12&gt;=S$4),"■","")</f>
        <v/>
      </c>
      <c r="T12" s="10" t="str">
        <f aca="false">IF(AND($G12&lt;=T$5,$H12&gt;=T$4),"■","")</f>
        <v/>
      </c>
      <c r="U12" s="10" t="str">
        <f aca="false">IF(AND($G12&lt;=U$5,$H12&gt;=U$4),"■","")</f>
        <v/>
      </c>
      <c r="V12" s="10" t="str">
        <f aca="false">IF(AND($G12&lt;=V$5,$H12&gt;=V$4),"■","")</f>
        <v/>
      </c>
      <c r="W12" s="10" t="str">
        <f aca="false">IF(AND($G12&lt;=W$5,$H12&gt;=W$4),"■","")</f>
        <v/>
      </c>
      <c r="X12" s="10" t="str">
        <f aca="false">IF(AND($G12&lt;=X$5,$H12&gt;=X$4),"■","")</f>
        <v/>
      </c>
      <c r="Y12" s="10" t="str">
        <f aca="false">IF(AND($G12&lt;=Y$5,$H12&gt;=Y$4),"■","")</f>
        <v/>
      </c>
      <c r="Z12" s="10" t="str">
        <f aca="false">IF(AND($G12&lt;=Z$5,$H12&gt;=Z$4),"■","")</f>
        <v/>
      </c>
      <c r="AA12" s="10" t="str">
        <f aca="false">IF(AND($G12&lt;=AA$5,$H12&gt;=AA$4),"■","")</f>
        <v/>
      </c>
    </row>
    <row r="13" customFormat="false" ht="35.05" hidden="false" customHeight="false" outlineLevel="0" collapsed="false">
      <c r="A13" s="4" t="s">
        <v>166</v>
      </c>
      <c r="B13" s="4" t="s">
        <v>138</v>
      </c>
      <c r="C13" s="4" t="s">
        <v>167</v>
      </c>
      <c r="D13" s="4" t="s">
        <v>168</v>
      </c>
      <c r="E13" s="4" t="s">
        <v>24</v>
      </c>
      <c r="F13" s="11" t="s">
        <v>155</v>
      </c>
      <c r="G13" s="9" t="n">
        <v>-10</v>
      </c>
      <c r="H13" s="9" t="n">
        <v>-3</v>
      </c>
      <c r="I13" s="12" t="n">
        <f aca="false">H13-G13+1</f>
        <v>8</v>
      </c>
      <c r="J13" s="4" t="s">
        <v>158</v>
      </c>
      <c r="K13" s="4" t="s">
        <v>169</v>
      </c>
      <c r="L13" s="4"/>
      <c r="M13" s="10" t="str">
        <f aca="false">IF(AND($G13&lt;=M$5,$H13&gt;=M$4),"■","")</f>
        <v>■</v>
      </c>
      <c r="N13" s="10" t="str">
        <f aca="false">IF(AND($G13&lt;=N$5,$H13&gt;=N$4),"■","")</f>
        <v/>
      </c>
      <c r="O13" s="10" t="str">
        <f aca="false">IF(AND($G13&lt;=O$5,$H13&gt;=O$4),"■","")</f>
        <v/>
      </c>
      <c r="P13" s="10" t="str">
        <f aca="false">IF(AND($G13&lt;=P$5,$H13&gt;=P$4),"■","")</f>
        <v/>
      </c>
      <c r="Q13" s="10" t="str">
        <f aca="false">IF(AND($G13&lt;=Q$5,$H13&gt;=Q$4),"■","")</f>
        <v/>
      </c>
      <c r="R13" s="10" t="str">
        <f aca="false">IF(AND($G13&lt;=R$5,$H13&gt;=R$4),"■","")</f>
        <v/>
      </c>
      <c r="S13" s="10" t="str">
        <f aca="false">IF(AND($G13&lt;=S$5,$H13&gt;=S$4),"■","")</f>
        <v/>
      </c>
      <c r="T13" s="10" t="str">
        <f aca="false">IF(AND($G13&lt;=T$5,$H13&gt;=T$4),"■","")</f>
        <v/>
      </c>
      <c r="U13" s="10" t="str">
        <f aca="false">IF(AND($G13&lt;=U$5,$H13&gt;=U$4),"■","")</f>
        <v/>
      </c>
      <c r="V13" s="10" t="str">
        <f aca="false">IF(AND($G13&lt;=V$5,$H13&gt;=V$4),"■","")</f>
        <v/>
      </c>
      <c r="W13" s="10" t="str">
        <f aca="false">IF(AND($G13&lt;=W$5,$H13&gt;=W$4),"■","")</f>
        <v/>
      </c>
      <c r="X13" s="10" t="str">
        <f aca="false">IF(AND($G13&lt;=X$5,$H13&gt;=X$4),"■","")</f>
        <v/>
      </c>
      <c r="Y13" s="10" t="str">
        <f aca="false">IF(AND($G13&lt;=Y$5,$H13&gt;=Y$4),"■","")</f>
        <v/>
      </c>
      <c r="Z13" s="10" t="str">
        <f aca="false">IF(AND($G13&lt;=Z$5,$H13&gt;=Z$4),"■","")</f>
        <v/>
      </c>
      <c r="AA13" s="10" t="str">
        <f aca="false">IF(AND($G13&lt;=AA$5,$H13&gt;=AA$4),"■","")</f>
        <v/>
      </c>
    </row>
    <row r="14" customFormat="false" ht="46.25" hidden="false" customHeight="false" outlineLevel="0" collapsed="false">
      <c r="A14" s="4" t="s">
        <v>170</v>
      </c>
      <c r="B14" s="4" t="s">
        <v>138</v>
      </c>
      <c r="C14" s="4" t="s">
        <v>171</v>
      </c>
      <c r="D14" s="4" t="s">
        <v>172</v>
      </c>
      <c r="E14" s="4" t="s">
        <v>34</v>
      </c>
      <c r="F14" s="11" t="s">
        <v>155</v>
      </c>
      <c r="G14" s="9" t="n">
        <v>-5</v>
      </c>
      <c r="H14" s="9" t="n">
        <v>0</v>
      </c>
      <c r="I14" s="12" t="n">
        <f aca="false">H14-G14+1</f>
        <v>6</v>
      </c>
      <c r="J14" s="4" t="s">
        <v>166</v>
      </c>
      <c r="K14" s="4" t="s">
        <v>173</v>
      </c>
      <c r="L14" s="4"/>
      <c r="M14" s="10" t="str">
        <f aca="false">IF(AND($G14&lt;=M$5,$H14&gt;=M$4),"■","")</f>
        <v>■</v>
      </c>
      <c r="N14" s="10" t="str">
        <f aca="false">IF(AND($G14&lt;=N$5,$H14&gt;=N$4),"■","")</f>
        <v>■</v>
      </c>
      <c r="O14" s="10" t="str">
        <f aca="false">IF(AND($G14&lt;=O$5,$H14&gt;=O$4),"■","")</f>
        <v/>
      </c>
      <c r="P14" s="10" t="str">
        <f aca="false">IF(AND($G14&lt;=P$5,$H14&gt;=P$4),"■","")</f>
        <v/>
      </c>
      <c r="Q14" s="10" t="str">
        <f aca="false">IF(AND($G14&lt;=Q$5,$H14&gt;=Q$4),"■","")</f>
        <v/>
      </c>
      <c r="R14" s="10" t="str">
        <f aca="false">IF(AND($G14&lt;=R$5,$H14&gt;=R$4),"■","")</f>
        <v/>
      </c>
      <c r="S14" s="10" t="str">
        <f aca="false">IF(AND($G14&lt;=S$5,$H14&gt;=S$4),"■","")</f>
        <v/>
      </c>
      <c r="T14" s="10" t="str">
        <f aca="false">IF(AND($G14&lt;=T$5,$H14&gt;=T$4),"■","")</f>
        <v/>
      </c>
      <c r="U14" s="10" t="str">
        <f aca="false">IF(AND($G14&lt;=U$5,$H14&gt;=U$4),"■","")</f>
        <v/>
      </c>
      <c r="V14" s="10" t="str">
        <f aca="false">IF(AND($G14&lt;=V$5,$H14&gt;=V$4),"■","")</f>
        <v/>
      </c>
      <c r="W14" s="10" t="str">
        <f aca="false">IF(AND($G14&lt;=W$5,$H14&gt;=W$4),"■","")</f>
        <v/>
      </c>
      <c r="X14" s="10" t="str">
        <f aca="false">IF(AND($G14&lt;=X$5,$H14&gt;=X$4),"■","")</f>
        <v/>
      </c>
      <c r="Y14" s="10" t="str">
        <f aca="false">IF(AND($G14&lt;=Y$5,$H14&gt;=Y$4),"■","")</f>
        <v/>
      </c>
      <c r="Z14" s="10" t="str">
        <f aca="false">IF(AND($G14&lt;=Z$5,$H14&gt;=Z$4),"■","")</f>
        <v/>
      </c>
      <c r="AA14" s="10" t="str">
        <f aca="false">IF(AND($G14&lt;=AA$5,$H14&gt;=AA$4),"■","")</f>
        <v/>
      </c>
    </row>
    <row r="15" customFormat="false" ht="23.85" hidden="false" customHeight="false" outlineLevel="0" collapsed="false">
      <c r="A15" s="4" t="s">
        <v>174</v>
      </c>
      <c r="B15" s="4" t="s">
        <v>138</v>
      </c>
      <c r="C15" s="4" t="s">
        <v>175</v>
      </c>
      <c r="D15" s="4" t="s">
        <v>176</v>
      </c>
      <c r="E15" s="4" t="s">
        <v>32</v>
      </c>
      <c r="F15" s="11" t="s">
        <v>141</v>
      </c>
      <c r="G15" s="9" t="n">
        <v>0</v>
      </c>
      <c r="H15" s="9" t="n">
        <v>0</v>
      </c>
      <c r="I15" s="12" t="n">
        <f aca="false">H15-G15+1</f>
        <v>1</v>
      </c>
      <c r="J15" s="4" t="s">
        <v>170</v>
      </c>
      <c r="K15" s="4" t="s">
        <v>177</v>
      </c>
      <c r="L15" s="4" t="s">
        <v>178</v>
      </c>
      <c r="M15" s="10" t="str">
        <f aca="false">IF(AND($G15&lt;=M$5,$H15&gt;=M$4),"■","")</f>
        <v/>
      </c>
      <c r="N15" s="10" t="str">
        <f aca="false">IF(AND($G15&lt;=N$5,$H15&gt;=N$4),"■","")</f>
        <v>■</v>
      </c>
      <c r="O15" s="10" t="str">
        <f aca="false">IF(AND($G15&lt;=O$5,$H15&gt;=O$4),"■","")</f>
        <v/>
      </c>
      <c r="P15" s="10" t="str">
        <f aca="false">IF(AND($G15&lt;=P$5,$H15&gt;=P$4),"■","")</f>
        <v/>
      </c>
      <c r="Q15" s="10" t="str">
        <f aca="false">IF(AND($G15&lt;=Q$5,$H15&gt;=Q$4),"■","")</f>
        <v/>
      </c>
      <c r="R15" s="10" t="str">
        <f aca="false">IF(AND($G15&lt;=R$5,$H15&gt;=R$4),"■","")</f>
        <v/>
      </c>
      <c r="S15" s="10" t="str">
        <f aca="false">IF(AND($G15&lt;=S$5,$H15&gt;=S$4),"■","")</f>
        <v/>
      </c>
      <c r="T15" s="10" t="str">
        <f aca="false">IF(AND($G15&lt;=T$5,$H15&gt;=T$4),"■","")</f>
        <v/>
      </c>
      <c r="U15" s="10" t="str">
        <f aca="false">IF(AND($G15&lt;=U$5,$H15&gt;=U$4),"■","")</f>
        <v/>
      </c>
      <c r="V15" s="10" t="str">
        <f aca="false">IF(AND($G15&lt;=V$5,$H15&gt;=V$4),"■","")</f>
        <v/>
      </c>
      <c r="W15" s="10" t="str">
        <f aca="false">IF(AND($G15&lt;=W$5,$H15&gt;=W$4),"■","")</f>
        <v/>
      </c>
      <c r="X15" s="10" t="str">
        <f aca="false">IF(AND($G15&lt;=X$5,$H15&gt;=X$4),"■","")</f>
        <v/>
      </c>
      <c r="Y15" s="10" t="str">
        <f aca="false">IF(AND($G15&lt;=Y$5,$H15&gt;=Y$4),"■","")</f>
        <v/>
      </c>
      <c r="Z15" s="10" t="str">
        <f aca="false">IF(AND($G15&lt;=Z$5,$H15&gt;=Z$4),"■","")</f>
        <v/>
      </c>
      <c r="AA15" s="10" t="str">
        <f aca="false">IF(AND($G15&lt;=AA$5,$H15&gt;=AA$4),"■","")</f>
        <v/>
      </c>
    </row>
    <row r="16" customFormat="false" ht="35.05" hidden="false" customHeight="false" outlineLevel="0" collapsed="false">
      <c r="A16" s="4" t="s">
        <v>179</v>
      </c>
      <c r="B16" s="4" t="s">
        <v>180</v>
      </c>
      <c r="C16" s="4" t="s">
        <v>181</v>
      </c>
      <c r="D16" s="4" t="s">
        <v>182</v>
      </c>
      <c r="E16" s="4" t="s">
        <v>32</v>
      </c>
      <c r="F16" s="11" t="s">
        <v>141</v>
      </c>
      <c r="G16" s="9" t="n">
        <v>0</v>
      </c>
      <c r="H16" s="9" t="n">
        <v>0</v>
      </c>
      <c r="I16" s="12" t="n">
        <f aca="false">H16-G16+1</f>
        <v>1</v>
      </c>
      <c r="J16" s="4" t="s">
        <v>174</v>
      </c>
      <c r="K16" s="4" t="s">
        <v>183</v>
      </c>
      <c r="L16" s="4" t="s">
        <v>184</v>
      </c>
      <c r="M16" s="10" t="str">
        <f aca="false">IF(AND($G16&lt;=M$5,$H16&gt;=M$4),"■","")</f>
        <v/>
      </c>
      <c r="N16" s="10" t="str">
        <f aca="false">IF(AND($G16&lt;=N$5,$H16&gt;=N$4),"■","")</f>
        <v>■</v>
      </c>
      <c r="O16" s="10" t="str">
        <f aca="false">IF(AND($G16&lt;=O$5,$H16&gt;=O$4),"■","")</f>
        <v/>
      </c>
      <c r="P16" s="10" t="str">
        <f aca="false">IF(AND($G16&lt;=P$5,$H16&gt;=P$4),"■","")</f>
        <v/>
      </c>
      <c r="Q16" s="10" t="str">
        <f aca="false">IF(AND($G16&lt;=Q$5,$H16&gt;=Q$4),"■","")</f>
        <v/>
      </c>
      <c r="R16" s="10" t="str">
        <f aca="false">IF(AND($G16&lt;=R$5,$H16&gt;=R$4),"■","")</f>
        <v/>
      </c>
      <c r="S16" s="10" t="str">
        <f aca="false">IF(AND($G16&lt;=S$5,$H16&gt;=S$4),"■","")</f>
        <v/>
      </c>
      <c r="T16" s="10" t="str">
        <f aca="false">IF(AND($G16&lt;=T$5,$H16&gt;=T$4),"■","")</f>
        <v/>
      </c>
      <c r="U16" s="10" t="str">
        <f aca="false">IF(AND($G16&lt;=U$5,$H16&gt;=U$4),"■","")</f>
        <v/>
      </c>
      <c r="V16" s="10" t="str">
        <f aca="false">IF(AND($G16&lt;=V$5,$H16&gt;=V$4),"■","")</f>
        <v/>
      </c>
      <c r="W16" s="10" t="str">
        <f aca="false">IF(AND($G16&lt;=W$5,$H16&gt;=W$4),"■","")</f>
        <v/>
      </c>
      <c r="X16" s="10" t="str">
        <f aca="false">IF(AND($G16&lt;=X$5,$H16&gt;=X$4),"■","")</f>
        <v/>
      </c>
      <c r="Y16" s="10" t="str">
        <f aca="false">IF(AND($G16&lt;=Y$5,$H16&gt;=Y$4),"■","")</f>
        <v/>
      </c>
      <c r="Z16" s="10" t="str">
        <f aca="false">IF(AND($G16&lt;=Z$5,$H16&gt;=Z$4),"■","")</f>
        <v/>
      </c>
      <c r="AA16" s="10" t="str">
        <f aca="false">IF(AND($G16&lt;=AA$5,$H16&gt;=AA$4),"■","")</f>
        <v/>
      </c>
    </row>
    <row r="17" customFormat="false" ht="23.85" hidden="false" customHeight="false" outlineLevel="0" collapsed="false">
      <c r="A17" s="4" t="s">
        <v>185</v>
      </c>
      <c r="B17" s="4" t="s">
        <v>180</v>
      </c>
      <c r="C17" s="4" t="s">
        <v>186</v>
      </c>
      <c r="D17" s="4" t="s">
        <v>187</v>
      </c>
      <c r="E17" s="4" t="s">
        <v>24</v>
      </c>
      <c r="F17" s="11" t="s">
        <v>141</v>
      </c>
      <c r="G17" s="9" t="n">
        <v>0</v>
      </c>
      <c r="H17" s="9" t="n">
        <v>1</v>
      </c>
      <c r="I17" s="12" t="n">
        <f aca="false">H17-G17+1</f>
        <v>2</v>
      </c>
      <c r="J17" s="4" t="s">
        <v>179</v>
      </c>
      <c r="K17" s="4" t="s">
        <v>188</v>
      </c>
      <c r="L17" s="4" t="s">
        <v>189</v>
      </c>
      <c r="M17" s="10" t="str">
        <f aca="false">IF(AND($G17&lt;=M$5,$H17&gt;=M$4),"■","")</f>
        <v/>
      </c>
      <c r="N17" s="10" t="str">
        <f aca="false">IF(AND($G17&lt;=N$5,$H17&gt;=N$4),"■","")</f>
        <v>■</v>
      </c>
      <c r="O17" s="10" t="str">
        <f aca="false">IF(AND($G17&lt;=O$5,$H17&gt;=O$4),"■","")</f>
        <v/>
      </c>
      <c r="P17" s="10" t="str">
        <f aca="false">IF(AND($G17&lt;=P$5,$H17&gt;=P$4),"■","")</f>
        <v/>
      </c>
      <c r="Q17" s="10" t="str">
        <f aca="false">IF(AND($G17&lt;=Q$5,$H17&gt;=Q$4),"■","")</f>
        <v/>
      </c>
      <c r="R17" s="10" t="str">
        <f aca="false">IF(AND($G17&lt;=R$5,$H17&gt;=R$4),"■","")</f>
        <v/>
      </c>
      <c r="S17" s="10" t="str">
        <f aca="false">IF(AND($G17&lt;=S$5,$H17&gt;=S$4),"■","")</f>
        <v/>
      </c>
      <c r="T17" s="10" t="str">
        <f aca="false">IF(AND($G17&lt;=T$5,$H17&gt;=T$4),"■","")</f>
        <v/>
      </c>
      <c r="U17" s="10" t="str">
        <f aca="false">IF(AND($G17&lt;=U$5,$H17&gt;=U$4),"■","")</f>
        <v/>
      </c>
      <c r="V17" s="10" t="str">
        <f aca="false">IF(AND($G17&lt;=V$5,$H17&gt;=V$4),"■","")</f>
        <v/>
      </c>
      <c r="W17" s="10" t="str">
        <f aca="false">IF(AND($G17&lt;=W$5,$H17&gt;=W$4),"■","")</f>
        <v/>
      </c>
      <c r="X17" s="10" t="str">
        <f aca="false">IF(AND($G17&lt;=X$5,$H17&gt;=X$4),"■","")</f>
        <v/>
      </c>
      <c r="Y17" s="10" t="str">
        <f aca="false">IF(AND($G17&lt;=Y$5,$H17&gt;=Y$4),"■","")</f>
        <v/>
      </c>
      <c r="Z17" s="10" t="str">
        <f aca="false">IF(AND($G17&lt;=Z$5,$H17&gt;=Z$4),"■","")</f>
        <v/>
      </c>
      <c r="AA17" s="10" t="str">
        <f aca="false">IF(AND($G17&lt;=AA$5,$H17&gt;=AA$4),"■","")</f>
        <v/>
      </c>
    </row>
    <row r="18" customFormat="false" ht="23.85" hidden="false" customHeight="false" outlineLevel="0" collapsed="false">
      <c r="A18" s="4" t="s">
        <v>190</v>
      </c>
      <c r="B18" s="4" t="s">
        <v>180</v>
      </c>
      <c r="C18" s="4" t="s">
        <v>191</v>
      </c>
      <c r="D18" s="4" t="s">
        <v>192</v>
      </c>
      <c r="E18" s="4" t="s">
        <v>30</v>
      </c>
      <c r="F18" s="11" t="s">
        <v>141</v>
      </c>
      <c r="G18" s="9" t="n">
        <v>0</v>
      </c>
      <c r="H18" s="9" t="n">
        <v>1</v>
      </c>
      <c r="I18" s="12" t="n">
        <f aca="false">H18-G18+1</f>
        <v>2</v>
      </c>
      <c r="J18" s="4" t="s">
        <v>185</v>
      </c>
      <c r="K18" s="4" t="s">
        <v>193</v>
      </c>
      <c r="L18" s="4" t="s">
        <v>194</v>
      </c>
      <c r="M18" s="10" t="str">
        <f aca="false">IF(AND($G18&lt;=M$5,$H18&gt;=M$4),"■","")</f>
        <v/>
      </c>
      <c r="N18" s="10" t="str">
        <f aca="false">IF(AND($G18&lt;=N$5,$H18&gt;=N$4),"■","")</f>
        <v>■</v>
      </c>
      <c r="O18" s="10" t="str">
        <f aca="false">IF(AND($G18&lt;=O$5,$H18&gt;=O$4),"■","")</f>
        <v/>
      </c>
      <c r="P18" s="10" t="str">
        <f aca="false">IF(AND($G18&lt;=P$5,$H18&gt;=P$4),"■","")</f>
        <v/>
      </c>
      <c r="Q18" s="10" t="str">
        <f aca="false">IF(AND($G18&lt;=Q$5,$H18&gt;=Q$4),"■","")</f>
        <v/>
      </c>
      <c r="R18" s="10" t="str">
        <f aca="false">IF(AND($G18&lt;=R$5,$H18&gt;=R$4),"■","")</f>
        <v/>
      </c>
      <c r="S18" s="10" t="str">
        <f aca="false">IF(AND($G18&lt;=S$5,$H18&gt;=S$4),"■","")</f>
        <v/>
      </c>
      <c r="T18" s="10" t="str">
        <f aca="false">IF(AND($G18&lt;=T$5,$H18&gt;=T$4),"■","")</f>
        <v/>
      </c>
      <c r="U18" s="10" t="str">
        <f aca="false">IF(AND($G18&lt;=U$5,$H18&gt;=U$4),"■","")</f>
        <v/>
      </c>
      <c r="V18" s="10" t="str">
        <f aca="false">IF(AND($G18&lt;=V$5,$H18&gt;=V$4),"■","")</f>
        <v/>
      </c>
      <c r="W18" s="10" t="str">
        <f aca="false">IF(AND($G18&lt;=W$5,$H18&gt;=W$4),"■","")</f>
        <v/>
      </c>
      <c r="X18" s="10" t="str">
        <f aca="false">IF(AND($G18&lt;=X$5,$H18&gt;=X$4),"■","")</f>
        <v/>
      </c>
      <c r="Y18" s="10" t="str">
        <f aca="false">IF(AND($G18&lt;=Y$5,$H18&gt;=Y$4),"■","")</f>
        <v/>
      </c>
      <c r="Z18" s="10" t="str">
        <f aca="false">IF(AND($G18&lt;=Z$5,$H18&gt;=Z$4),"■","")</f>
        <v/>
      </c>
      <c r="AA18" s="10" t="str">
        <f aca="false">IF(AND($G18&lt;=AA$5,$H18&gt;=AA$4),"■","")</f>
        <v/>
      </c>
    </row>
    <row r="19" customFormat="false" ht="35.05" hidden="false" customHeight="false" outlineLevel="0" collapsed="false">
      <c r="A19" s="4" t="s">
        <v>195</v>
      </c>
      <c r="B19" s="4" t="s">
        <v>180</v>
      </c>
      <c r="C19" s="4" t="s">
        <v>196</v>
      </c>
      <c r="D19" s="4" t="s">
        <v>197</v>
      </c>
      <c r="E19" s="4" t="s">
        <v>32</v>
      </c>
      <c r="F19" s="11" t="s">
        <v>155</v>
      </c>
      <c r="G19" s="9" t="n">
        <v>0</v>
      </c>
      <c r="H19" s="9" t="n">
        <v>0</v>
      </c>
      <c r="I19" s="12" t="n">
        <f aca="false">H19-G19+1</f>
        <v>1</v>
      </c>
      <c r="J19" s="4" t="s">
        <v>179</v>
      </c>
      <c r="K19" s="4" t="s">
        <v>198</v>
      </c>
      <c r="L19" s="4" t="s">
        <v>184</v>
      </c>
      <c r="M19" s="10" t="str">
        <f aca="false">IF(AND($G19&lt;=M$5,$H19&gt;=M$4),"■","")</f>
        <v/>
      </c>
      <c r="N19" s="10" t="str">
        <f aca="false">IF(AND($G19&lt;=N$5,$H19&gt;=N$4),"■","")</f>
        <v>■</v>
      </c>
      <c r="O19" s="10" t="str">
        <f aca="false">IF(AND($G19&lt;=O$5,$H19&gt;=O$4),"■","")</f>
        <v/>
      </c>
      <c r="P19" s="10" t="str">
        <f aca="false">IF(AND($G19&lt;=P$5,$H19&gt;=P$4),"■","")</f>
        <v/>
      </c>
      <c r="Q19" s="10" t="str">
        <f aca="false">IF(AND($G19&lt;=Q$5,$H19&gt;=Q$4),"■","")</f>
        <v/>
      </c>
      <c r="R19" s="10" t="str">
        <f aca="false">IF(AND($G19&lt;=R$5,$H19&gt;=R$4),"■","")</f>
        <v/>
      </c>
      <c r="S19" s="10" t="str">
        <f aca="false">IF(AND($G19&lt;=S$5,$H19&gt;=S$4),"■","")</f>
        <v/>
      </c>
      <c r="T19" s="10" t="str">
        <f aca="false">IF(AND($G19&lt;=T$5,$H19&gt;=T$4),"■","")</f>
        <v/>
      </c>
      <c r="U19" s="10" t="str">
        <f aca="false">IF(AND($G19&lt;=U$5,$H19&gt;=U$4),"■","")</f>
        <v/>
      </c>
      <c r="V19" s="10" t="str">
        <f aca="false">IF(AND($G19&lt;=V$5,$H19&gt;=V$4),"■","")</f>
        <v/>
      </c>
      <c r="W19" s="10" t="str">
        <f aca="false">IF(AND($G19&lt;=W$5,$H19&gt;=W$4),"■","")</f>
        <v/>
      </c>
      <c r="X19" s="10" t="str">
        <f aca="false">IF(AND($G19&lt;=X$5,$H19&gt;=X$4),"■","")</f>
        <v/>
      </c>
      <c r="Y19" s="10" t="str">
        <f aca="false">IF(AND($G19&lt;=Y$5,$H19&gt;=Y$4),"■","")</f>
        <v/>
      </c>
      <c r="Z19" s="10" t="str">
        <f aca="false">IF(AND($G19&lt;=Z$5,$H19&gt;=Z$4),"■","")</f>
        <v/>
      </c>
      <c r="AA19" s="10" t="str">
        <f aca="false">IF(AND($G19&lt;=AA$5,$H19&gt;=AA$4),"■","")</f>
        <v/>
      </c>
    </row>
    <row r="20" customFormat="false" ht="23.85" hidden="false" customHeight="false" outlineLevel="0" collapsed="false">
      <c r="A20" s="4" t="s">
        <v>199</v>
      </c>
      <c r="B20" s="4" t="s">
        <v>180</v>
      </c>
      <c r="C20" s="4" t="s">
        <v>200</v>
      </c>
      <c r="D20" s="4" t="s">
        <v>201</v>
      </c>
      <c r="E20" s="4" t="s">
        <v>28</v>
      </c>
      <c r="F20" s="11" t="s">
        <v>155</v>
      </c>
      <c r="G20" s="9" t="n">
        <v>0</v>
      </c>
      <c r="H20" s="9" t="n">
        <v>1</v>
      </c>
      <c r="I20" s="12" t="n">
        <f aca="false">H20-G20+1</f>
        <v>2</v>
      </c>
      <c r="J20" s="4" t="s">
        <v>179</v>
      </c>
      <c r="K20" s="4" t="s">
        <v>202</v>
      </c>
      <c r="L20" s="4"/>
      <c r="M20" s="10" t="str">
        <f aca="false">IF(AND($G20&lt;=M$5,$H20&gt;=M$4),"■","")</f>
        <v/>
      </c>
      <c r="N20" s="10" t="str">
        <f aca="false">IF(AND($G20&lt;=N$5,$H20&gt;=N$4),"■","")</f>
        <v>■</v>
      </c>
      <c r="O20" s="10" t="str">
        <f aca="false">IF(AND($G20&lt;=O$5,$H20&gt;=O$4),"■","")</f>
        <v/>
      </c>
      <c r="P20" s="10" t="str">
        <f aca="false">IF(AND($G20&lt;=P$5,$H20&gt;=P$4),"■","")</f>
        <v/>
      </c>
      <c r="Q20" s="10" t="str">
        <f aca="false">IF(AND($G20&lt;=Q$5,$H20&gt;=Q$4),"■","")</f>
        <v/>
      </c>
      <c r="R20" s="10" t="str">
        <f aca="false">IF(AND($G20&lt;=R$5,$H20&gt;=R$4),"■","")</f>
        <v/>
      </c>
      <c r="S20" s="10" t="str">
        <f aca="false">IF(AND($G20&lt;=S$5,$H20&gt;=S$4),"■","")</f>
        <v/>
      </c>
      <c r="T20" s="10" t="str">
        <f aca="false">IF(AND($G20&lt;=T$5,$H20&gt;=T$4),"■","")</f>
        <v/>
      </c>
      <c r="U20" s="10" t="str">
        <f aca="false">IF(AND($G20&lt;=U$5,$H20&gt;=U$4),"■","")</f>
        <v/>
      </c>
      <c r="V20" s="10" t="str">
        <f aca="false">IF(AND($G20&lt;=V$5,$H20&gt;=V$4),"■","")</f>
        <v/>
      </c>
      <c r="W20" s="10" t="str">
        <f aca="false">IF(AND($G20&lt;=W$5,$H20&gt;=W$4),"■","")</f>
        <v/>
      </c>
      <c r="X20" s="10" t="str">
        <f aca="false">IF(AND($G20&lt;=X$5,$H20&gt;=X$4),"■","")</f>
        <v/>
      </c>
      <c r="Y20" s="10" t="str">
        <f aca="false">IF(AND($G20&lt;=Y$5,$H20&gt;=Y$4),"■","")</f>
        <v/>
      </c>
      <c r="Z20" s="10" t="str">
        <f aca="false">IF(AND($G20&lt;=Z$5,$H20&gt;=Z$4),"■","")</f>
        <v/>
      </c>
      <c r="AA20" s="10" t="str">
        <f aca="false">IF(AND($G20&lt;=AA$5,$H20&gt;=AA$4),"■","")</f>
        <v/>
      </c>
    </row>
    <row r="21" customFormat="false" ht="23.85" hidden="false" customHeight="false" outlineLevel="0" collapsed="false">
      <c r="A21" s="4" t="s">
        <v>203</v>
      </c>
      <c r="B21" s="4" t="s">
        <v>180</v>
      </c>
      <c r="C21" s="4" t="s">
        <v>204</v>
      </c>
      <c r="D21" s="4" t="s">
        <v>205</v>
      </c>
      <c r="E21" s="4" t="s">
        <v>26</v>
      </c>
      <c r="F21" s="11" t="s">
        <v>141</v>
      </c>
      <c r="G21" s="9" t="n">
        <v>1</v>
      </c>
      <c r="H21" s="9" t="n">
        <v>3</v>
      </c>
      <c r="I21" s="12" t="n">
        <f aca="false">H21-G21+1</f>
        <v>3</v>
      </c>
      <c r="J21" s="4" t="s">
        <v>185</v>
      </c>
      <c r="K21" s="4" t="s">
        <v>206</v>
      </c>
      <c r="L21" s="4" t="s">
        <v>207</v>
      </c>
      <c r="M21" s="10" t="str">
        <f aca="false">IF(AND($G21&lt;=M$5,$H21&gt;=M$4),"■","")</f>
        <v/>
      </c>
      <c r="N21" s="10" t="str">
        <f aca="false">IF(AND($G21&lt;=N$5,$H21&gt;=N$4),"■","")</f>
        <v>■</v>
      </c>
      <c r="O21" s="10" t="str">
        <f aca="false">IF(AND($G21&lt;=O$5,$H21&gt;=O$4),"■","")</f>
        <v/>
      </c>
      <c r="P21" s="10" t="str">
        <f aca="false">IF(AND($G21&lt;=P$5,$H21&gt;=P$4),"■","")</f>
        <v/>
      </c>
      <c r="Q21" s="10" t="str">
        <f aca="false">IF(AND($G21&lt;=Q$5,$H21&gt;=Q$4),"■","")</f>
        <v/>
      </c>
      <c r="R21" s="10" t="str">
        <f aca="false">IF(AND($G21&lt;=R$5,$H21&gt;=R$4),"■","")</f>
        <v/>
      </c>
      <c r="S21" s="10" t="str">
        <f aca="false">IF(AND($G21&lt;=S$5,$H21&gt;=S$4),"■","")</f>
        <v/>
      </c>
      <c r="T21" s="10" t="str">
        <f aca="false">IF(AND($G21&lt;=T$5,$H21&gt;=T$4),"■","")</f>
        <v/>
      </c>
      <c r="U21" s="10" t="str">
        <f aca="false">IF(AND($G21&lt;=U$5,$H21&gt;=U$4),"■","")</f>
        <v/>
      </c>
      <c r="V21" s="10" t="str">
        <f aca="false">IF(AND($G21&lt;=V$5,$H21&gt;=V$4),"■","")</f>
        <v/>
      </c>
      <c r="W21" s="10" t="str">
        <f aca="false">IF(AND($G21&lt;=W$5,$H21&gt;=W$4),"■","")</f>
        <v/>
      </c>
      <c r="X21" s="10" t="str">
        <f aca="false">IF(AND($G21&lt;=X$5,$H21&gt;=X$4),"■","")</f>
        <v/>
      </c>
      <c r="Y21" s="10" t="str">
        <f aca="false">IF(AND($G21&lt;=Y$5,$H21&gt;=Y$4),"■","")</f>
        <v/>
      </c>
      <c r="Z21" s="10" t="str">
        <f aca="false">IF(AND($G21&lt;=Z$5,$H21&gt;=Z$4),"■","")</f>
        <v/>
      </c>
      <c r="AA21" s="10" t="str">
        <f aca="false">IF(AND($G21&lt;=AA$5,$H21&gt;=AA$4),"■","")</f>
        <v/>
      </c>
    </row>
    <row r="22" customFormat="false" ht="15" hidden="false" customHeight="false" outlineLevel="0" collapsed="false">
      <c r="A22" s="4" t="s">
        <v>208</v>
      </c>
      <c r="B22" s="4" t="s">
        <v>180</v>
      </c>
      <c r="C22" s="4" t="s">
        <v>209</v>
      </c>
      <c r="D22" s="4" t="s">
        <v>210</v>
      </c>
      <c r="E22" s="4" t="s">
        <v>28</v>
      </c>
      <c r="F22" s="11" t="s">
        <v>141</v>
      </c>
      <c r="G22" s="9" t="n">
        <v>0</v>
      </c>
      <c r="H22" s="9" t="n">
        <v>1</v>
      </c>
      <c r="I22" s="12" t="n">
        <f aca="false">H22-G22+1</f>
        <v>2</v>
      </c>
      <c r="J22" s="4" t="s">
        <v>179</v>
      </c>
      <c r="K22" s="4" t="s">
        <v>211</v>
      </c>
      <c r="L22" s="4"/>
      <c r="M22" s="10" t="str">
        <f aca="false">IF(AND($G22&lt;=M$5,$H22&gt;=M$4),"■","")</f>
        <v/>
      </c>
      <c r="N22" s="10" t="str">
        <f aca="false">IF(AND($G22&lt;=N$5,$H22&gt;=N$4),"■","")</f>
        <v>■</v>
      </c>
      <c r="O22" s="10" t="str">
        <f aca="false">IF(AND($G22&lt;=O$5,$H22&gt;=O$4),"■","")</f>
        <v/>
      </c>
      <c r="P22" s="10" t="str">
        <f aca="false">IF(AND($G22&lt;=P$5,$H22&gt;=P$4),"■","")</f>
        <v/>
      </c>
      <c r="Q22" s="10" t="str">
        <f aca="false">IF(AND($G22&lt;=Q$5,$H22&gt;=Q$4),"■","")</f>
        <v/>
      </c>
      <c r="R22" s="10" t="str">
        <f aca="false">IF(AND($G22&lt;=R$5,$H22&gt;=R$4),"■","")</f>
        <v/>
      </c>
      <c r="S22" s="10" t="str">
        <f aca="false">IF(AND($G22&lt;=S$5,$H22&gt;=S$4),"■","")</f>
        <v/>
      </c>
      <c r="T22" s="10" t="str">
        <f aca="false">IF(AND($G22&lt;=T$5,$H22&gt;=T$4),"■","")</f>
        <v/>
      </c>
      <c r="U22" s="10" t="str">
        <f aca="false">IF(AND($G22&lt;=U$5,$H22&gt;=U$4),"■","")</f>
        <v/>
      </c>
      <c r="V22" s="10" t="str">
        <f aca="false">IF(AND($G22&lt;=V$5,$H22&gt;=V$4),"■","")</f>
        <v/>
      </c>
      <c r="W22" s="10" t="str">
        <f aca="false">IF(AND($G22&lt;=W$5,$H22&gt;=W$4),"■","")</f>
        <v/>
      </c>
      <c r="X22" s="10" t="str">
        <f aca="false">IF(AND($G22&lt;=X$5,$H22&gt;=X$4),"■","")</f>
        <v/>
      </c>
      <c r="Y22" s="10" t="str">
        <f aca="false">IF(AND($G22&lt;=Y$5,$H22&gt;=Y$4),"■","")</f>
        <v/>
      </c>
      <c r="Z22" s="10" t="str">
        <f aca="false">IF(AND($G22&lt;=Z$5,$H22&gt;=Z$4),"■","")</f>
        <v/>
      </c>
      <c r="AA22" s="10" t="str">
        <f aca="false">IF(AND($G22&lt;=AA$5,$H22&gt;=AA$4),"■","")</f>
        <v/>
      </c>
    </row>
    <row r="23" customFormat="false" ht="35.05" hidden="false" customHeight="false" outlineLevel="0" collapsed="false">
      <c r="A23" s="4" t="s">
        <v>212</v>
      </c>
      <c r="B23" s="4" t="s">
        <v>180</v>
      </c>
      <c r="C23" s="4" t="s">
        <v>213</v>
      </c>
      <c r="D23" s="4" t="s">
        <v>214</v>
      </c>
      <c r="E23" s="4" t="s">
        <v>24</v>
      </c>
      <c r="F23" s="11" t="s">
        <v>141</v>
      </c>
      <c r="G23" s="9" t="n">
        <v>1</v>
      </c>
      <c r="H23" s="9" t="n">
        <v>3</v>
      </c>
      <c r="I23" s="12" t="n">
        <f aca="false">H23-G23+1</f>
        <v>3</v>
      </c>
      <c r="J23" s="4" t="s">
        <v>185</v>
      </c>
      <c r="K23" s="4" t="s">
        <v>215</v>
      </c>
      <c r="L23" s="4" t="s">
        <v>216</v>
      </c>
      <c r="M23" s="10" t="str">
        <f aca="false">IF(AND($G23&lt;=M$5,$H23&gt;=M$4),"■","")</f>
        <v/>
      </c>
      <c r="N23" s="10" t="str">
        <f aca="false">IF(AND($G23&lt;=N$5,$H23&gt;=N$4),"■","")</f>
        <v>■</v>
      </c>
      <c r="O23" s="10" t="str">
        <f aca="false">IF(AND($G23&lt;=O$5,$H23&gt;=O$4),"■","")</f>
        <v/>
      </c>
      <c r="P23" s="10" t="str">
        <f aca="false">IF(AND($G23&lt;=P$5,$H23&gt;=P$4),"■","")</f>
        <v/>
      </c>
      <c r="Q23" s="10" t="str">
        <f aca="false">IF(AND($G23&lt;=Q$5,$H23&gt;=Q$4),"■","")</f>
        <v/>
      </c>
      <c r="R23" s="10" t="str">
        <f aca="false">IF(AND($G23&lt;=R$5,$H23&gt;=R$4),"■","")</f>
        <v/>
      </c>
      <c r="S23" s="10" t="str">
        <f aca="false">IF(AND($G23&lt;=S$5,$H23&gt;=S$4),"■","")</f>
        <v/>
      </c>
      <c r="T23" s="10" t="str">
        <f aca="false">IF(AND($G23&lt;=T$5,$H23&gt;=T$4),"■","")</f>
        <v/>
      </c>
      <c r="U23" s="10" t="str">
        <f aca="false">IF(AND($G23&lt;=U$5,$H23&gt;=U$4),"■","")</f>
        <v/>
      </c>
      <c r="V23" s="10" t="str">
        <f aca="false">IF(AND($G23&lt;=V$5,$H23&gt;=V$4),"■","")</f>
        <v/>
      </c>
      <c r="W23" s="10" t="str">
        <f aca="false">IF(AND($G23&lt;=W$5,$H23&gt;=W$4),"■","")</f>
        <v/>
      </c>
      <c r="X23" s="10" t="str">
        <f aca="false">IF(AND($G23&lt;=X$5,$H23&gt;=X$4),"■","")</f>
        <v/>
      </c>
      <c r="Y23" s="10" t="str">
        <f aca="false">IF(AND($G23&lt;=Y$5,$H23&gt;=Y$4),"■","")</f>
        <v/>
      </c>
      <c r="Z23" s="10" t="str">
        <f aca="false">IF(AND($G23&lt;=Z$5,$H23&gt;=Z$4),"■","")</f>
        <v/>
      </c>
      <c r="AA23" s="10" t="str">
        <f aca="false">IF(AND($G23&lt;=AA$5,$H23&gt;=AA$4),"■","")</f>
        <v/>
      </c>
    </row>
    <row r="24" customFormat="false" ht="23.85" hidden="false" customHeight="false" outlineLevel="0" collapsed="false">
      <c r="A24" s="4" t="s">
        <v>217</v>
      </c>
      <c r="B24" s="4" t="s">
        <v>180</v>
      </c>
      <c r="C24" s="4" t="s">
        <v>218</v>
      </c>
      <c r="D24" s="4" t="s">
        <v>219</v>
      </c>
      <c r="E24" s="4" t="s">
        <v>26</v>
      </c>
      <c r="F24" s="11" t="s">
        <v>155</v>
      </c>
      <c r="G24" s="9" t="n">
        <v>1</v>
      </c>
      <c r="H24" s="9" t="n">
        <v>2</v>
      </c>
      <c r="I24" s="12" t="n">
        <f aca="false">H24-G24+1</f>
        <v>2</v>
      </c>
      <c r="J24" s="4" t="s">
        <v>185</v>
      </c>
      <c r="K24" s="4" t="s">
        <v>220</v>
      </c>
      <c r="L24" s="4"/>
      <c r="M24" s="10" t="str">
        <f aca="false">IF(AND($G24&lt;=M$5,$H24&gt;=M$4),"■","")</f>
        <v/>
      </c>
      <c r="N24" s="10" t="str">
        <f aca="false">IF(AND($G24&lt;=N$5,$H24&gt;=N$4),"■","")</f>
        <v>■</v>
      </c>
      <c r="O24" s="10" t="str">
        <f aca="false">IF(AND($G24&lt;=O$5,$H24&gt;=O$4),"■","")</f>
        <v/>
      </c>
      <c r="P24" s="10" t="str">
        <f aca="false">IF(AND($G24&lt;=P$5,$H24&gt;=P$4),"■","")</f>
        <v/>
      </c>
      <c r="Q24" s="10" t="str">
        <f aca="false">IF(AND($G24&lt;=Q$5,$H24&gt;=Q$4),"■","")</f>
        <v/>
      </c>
      <c r="R24" s="10" t="str">
        <f aca="false">IF(AND($G24&lt;=R$5,$H24&gt;=R$4),"■","")</f>
        <v/>
      </c>
      <c r="S24" s="10" t="str">
        <f aca="false">IF(AND($G24&lt;=S$5,$H24&gt;=S$4),"■","")</f>
        <v/>
      </c>
      <c r="T24" s="10" t="str">
        <f aca="false">IF(AND($G24&lt;=T$5,$H24&gt;=T$4),"■","")</f>
        <v/>
      </c>
      <c r="U24" s="10" t="str">
        <f aca="false">IF(AND($G24&lt;=U$5,$H24&gt;=U$4),"■","")</f>
        <v/>
      </c>
      <c r="V24" s="10" t="str">
        <f aca="false">IF(AND($G24&lt;=V$5,$H24&gt;=V$4),"■","")</f>
        <v/>
      </c>
      <c r="W24" s="10" t="str">
        <f aca="false">IF(AND($G24&lt;=W$5,$H24&gt;=W$4),"■","")</f>
        <v/>
      </c>
      <c r="X24" s="10" t="str">
        <f aca="false">IF(AND($G24&lt;=X$5,$H24&gt;=X$4),"■","")</f>
        <v/>
      </c>
      <c r="Y24" s="10" t="str">
        <f aca="false">IF(AND($G24&lt;=Y$5,$H24&gt;=Y$4),"■","")</f>
        <v/>
      </c>
      <c r="Z24" s="10" t="str">
        <f aca="false">IF(AND($G24&lt;=Z$5,$H24&gt;=Z$4),"■","")</f>
        <v/>
      </c>
      <c r="AA24" s="10" t="str">
        <f aca="false">IF(AND($G24&lt;=AA$5,$H24&gt;=AA$4),"■","")</f>
        <v/>
      </c>
    </row>
    <row r="25" customFormat="false" ht="23.85" hidden="false" customHeight="false" outlineLevel="0" collapsed="false">
      <c r="A25" s="4" t="s">
        <v>221</v>
      </c>
      <c r="B25" s="4" t="s">
        <v>180</v>
      </c>
      <c r="C25" s="4" t="s">
        <v>222</v>
      </c>
      <c r="D25" s="4" t="s">
        <v>223</v>
      </c>
      <c r="E25" s="4" t="s">
        <v>32</v>
      </c>
      <c r="F25" s="11" t="s">
        <v>155</v>
      </c>
      <c r="G25" s="9" t="n">
        <v>2</v>
      </c>
      <c r="H25" s="9" t="n">
        <v>2</v>
      </c>
      <c r="I25" s="12" t="n">
        <f aca="false">H25-G25+1</f>
        <v>1</v>
      </c>
      <c r="J25" s="4" t="s">
        <v>195</v>
      </c>
      <c r="K25" s="4" t="s">
        <v>198</v>
      </c>
      <c r="L25" s="4" t="s">
        <v>224</v>
      </c>
      <c r="M25" s="10" t="str">
        <f aca="false">IF(AND($G25&lt;=M$5,$H25&gt;=M$4),"■","")</f>
        <v/>
      </c>
      <c r="N25" s="10" t="str">
        <f aca="false">IF(AND($G25&lt;=N$5,$H25&gt;=N$4),"■","")</f>
        <v>■</v>
      </c>
      <c r="O25" s="10" t="str">
        <f aca="false">IF(AND($G25&lt;=O$5,$H25&gt;=O$4),"■","")</f>
        <v/>
      </c>
      <c r="P25" s="10" t="str">
        <f aca="false">IF(AND($G25&lt;=P$5,$H25&gt;=P$4),"■","")</f>
        <v/>
      </c>
      <c r="Q25" s="10" t="str">
        <f aca="false">IF(AND($G25&lt;=Q$5,$H25&gt;=Q$4),"■","")</f>
        <v/>
      </c>
      <c r="R25" s="10" t="str">
        <f aca="false">IF(AND($G25&lt;=R$5,$H25&gt;=R$4),"■","")</f>
        <v/>
      </c>
      <c r="S25" s="10" t="str">
        <f aca="false">IF(AND($G25&lt;=S$5,$H25&gt;=S$4),"■","")</f>
        <v/>
      </c>
      <c r="T25" s="10" t="str">
        <f aca="false">IF(AND($G25&lt;=T$5,$H25&gt;=T$4),"■","")</f>
        <v/>
      </c>
      <c r="U25" s="10" t="str">
        <f aca="false">IF(AND($G25&lt;=U$5,$H25&gt;=U$4),"■","")</f>
        <v/>
      </c>
      <c r="V25" s="10" t="str">
        <f aca="false">IF(AND($G25&lt;=V$5,$H25&gt;=V$4),"■","")</f>
        <v/>
      </c>
      <c r="W25" s="10" t="str">
        <f aca="false">IF(AND($G25&lt;=W$5,$H25&gt;=W$4),"■","")</f>
        <v/>
      </c>
      <c r="X25" s="10" t="str">
        <f aca="false">IF(AND($G25&lt;=X$5,$H25&gt;=X$4),"■","")</f>
        <v/>
      </c>
      <c r="Y25" s="10" t="str">
        <f aca="false">IF(AND($G25&lt;=Y$5,$H25&gt;=Y$4),"■","")</f>
        <v/>
      </c>
      <c r="Z25" s="10" t="str">
        <f aca="false">IF(AND($G25&lt;=Z$5,$H25&gt;=Z$4),"■","")</f>
        <v/>
      </c>
      <c r="AA25" s="10" t="str">
        <f aca="false">IF(AND($G25&lt;=AA$5,$H25&gt;=AA$4),"■","")</f>
        <v/>
      </c>
    </row>
    <row r="26" customFormat="false" ht="23.85" hidden="false" customHeight="false" outlineLevel="0" collapsed="false">
      <c r="A26" s="4" t="s">
        <v>225</v>
      </c>
      <c r="B26" s="4" t="s">
        <v>180</v>
      </c>
      <c r="C26" s="4" t="s">
        <v>226</v>
      </c>
      <c r="D26" s="4" t="s">
        <v>227</v>
      </c>
      <c r="E26" s="4" t="s">
        <v>34</v>
      </c>
      <c r="F26" s="11" t="s">
        <v>155</v>
      </c>
      <c r="G26" s="9" t="n">
        <v>0</v>
      </c>
      <c r="H26" s="9" t="n">
        <v>5</v>
      </c>
      <c r="I26" s="12" t="n">
        <f aca="false">H26-G26+1</f>
        <v>6</v>
      </c>
      <c r="J26" s="4" t="s">
        <v>195</v>
      </c>
      <c r="K26" s="4" t="s">
        <v>228</v>
      </c>
      <c r="L26" s="4" t="s">
        <v>229</v>
      </c>
      <c r="M26" s="10" t="str">
        <f aca="false">IF(AND($G26&lt;=M$5,$H26&gt;=M$4),"■","")</f>
        <v/>
      </c>
      <c r="N26" s="10" t="str">
        <f aca="false">IF(AND($G26&lt;=N$5,$H26&gt;=N$4),"■","")</f>
        <v>■</v>
      </c>
      <c r="O26" s="10" t="str">
        <f aca="false">IF(AND($G26&lt;=O$5,$H26&gt;=O$4),"■","")</f>
        <v/>
      </c>
      <c r="P26" s="10" t="str">
        <f aca="false">IF(AND($G26&lt;=P$5,$H26&gt;=P$4),"■","")</f>
        <v/>
      </c>
      <c r="Q26" s="10" t="str">
        <f aca="false">IF(AND($G26&lt;=Q$5,$H26&gt;=Q$4),"■","")</f>
        <v/>
      </c>
      <c r="R26" s="10" t="str">
        <f aca="false">IF(AND($G26&lt;=R$5,$H26&gt;=R$4),"■","")</f>
        <v/>
      </c>
      <c r="S26" s="10" t="str">
        <f aca="false">IF(AND($G26&lt;=S$5,$H26&gt;=S$4),"■","")</f>
        <v/>
      </c>
      <c r="T26" s="10" t="str">
        <f aca="false">IF(AND($G26&lt;=T$5,$H26&gt;=T$4),"■","")</f>
        <v/>
      </c>
      <c r="U26" s="10" t="str">
        <f aca="false">IF(AND($G26&lt;=U$5,$H26&gt;=U$4),"■","")</f>
        <v/>
      </c>
      <c r="V26" s="10" t="str">
        <f aca="false">IF(AND($G26&lt;=V$5,$H26&gt;=V$4),"■","")</f>
        <v/>
      </c>
      <c r="W26" s="10" t="str">
        <f aca="false">IF(AND($G26&lt;=W$5,$H26&gt;=W$4),"■","")</f>
        <v/>
      </c>
      <c r="X26" s="10" t="str">
        <f aca="false">IF(AND($G26&lt;=X$5,$H26&gt;=X$4),"■","")</f>
        <v/>
      </c>
      <c r="Y26" s="10" t="str">
        <f aca="false">IF(AND($G26&lt;=Y$5,$H26&gt;=Y$4),"■","")</f>
        <v/>
      </c>
      <c r="Z26" s="10" t="str">
        <f aca="false">IF(AND($G26&lt;=Z$5,$H26&gt;=Z$4),"■","")</f>
        <v/>
      </c>
      <c r="AA26" s="10" t="str">
        <f aca="false">IF(AND($G26&lt;=AA$5,$H26&gt;=AA$4),"■","")</f>
        <v/>
      </c>
    </row>
    <row r="27" customFormat="false" ht="23.85" hidden="false" customHeight="false" outlineLevel="0" collapsed="false">
      <c r="A27" s="4" t="s">
        <v>230</v>
      </c>
      <c r="B27" s="4" t="s">
        <v>231</v>
      </c>
      <c r="C27" s="4" t="s">
        <v>232</v>
      </c>
      <c r="D27" s="4" t="s">
        <v>233</v>
      </c>
      <c r="E27" s="4" t="s">
        <v>34</v>
      </c>
      <c r="F27" s="11" t="s">
        <v>155</v>
      </c>
      <c r="G27" s="9" t="n">
        <v>1</v>
      </c>
      <c r="H27" s="9" t="n">
        <v>3</v>
      </c>
      <c r="I27" s="12" t="n">
        <f aca="false">H27-G27+1</f>
        <v>3</v>
      </c>
      <c r="J27" s="4" t="s">
        <v>195</v>
      </c>
      <c r="K27" s="4" t="s">
        <v>234</v>
      </c>
      <c r="L27" s="4" t="s">
        <v>235</v>
      </c>
      <c r="M27" s="10" t="str">
        <f aca="false">IF(AND($G27&lt;=M$5,$H27&gt;=M$4),"■","")</f>
        <v/>
      </c>
      <c r="N27" s="10" t="str">
        <f aca="false">IF(AND($G27&lt;=N$5,$H27&gt;=N$4),"■","")</f>
        <v>■</v>
      </c>
      <c r="O27" s="10" t="str">
        <f aca="false">IF(AND($G27&lt;=O$5,$H27&gt;=O$4),"■","")</f>
        <v/>
      </c>
      <c r="P27" s="10" t="str">
        <f aca="false">IF(AND($G27&lt;=P$5,$H27&gt;=P$4),"■","")</f>
        <v/>
      </c>
      <c r="Q27" s="10" t="str">
        <f aca="false">IF(AND($G27&lt;=Q$5,$H27&gt;=Q$4),"■","")</f>
        <v/>
      </c>
      <c r="R27" s="10" t="str">
        <f aca="false">IF(AND($G27&lt;=R$5,$H27&gt;=R$4),"■","")</f>
        <v/>
      </c>
      <c r="S27" s="10" t="str">
        <f aca="false">IF(AND($G27&lt;=S$5,$H27&gt;=S$4),"■","")</f>
        <v/>
      </c>
      <c r="T27" s="10" t="str">
        <f aca="false">IF(AND($G27&lt;=T$5,$H27&gt;=T$4),"■","")</f>
        <v/>
      </c>
      <c r="U27" s="10" t="str">
        <f aca="false">IF(AND($G27&lt;=U$5,$H27&gt;=U$4),"■","")</f>
        <v/>
      </c>
      <c r="V27" s="10" t="str">
        <f aca="false">IF(AND($G27&lt;=V$5,$H27&gt;=V$4),"■","")</f>
        <v/>
      </c>
      <c r="W27" s="10" t="str">
        <f aca="false">IF(AND($G27&lt;=W$5,$H27&gt;=W$4),"■","")</f>
        <v/>
      </c>
      <c r="X27" s="10" t="str">
        <f aca="false">IF(AND($G27&lt;=X$5,$H27&gt;=X$4),"■","")</f>
        <v/>
      </c>
      <c r="Y27" s="10" t="str">
        <f aca="false">IF(AND($G27&lt;=Y$5,$H27&gt;=Y$4),"■","")</f>
        <v/>
      </c>
      <c r="Z27" s="10" t="str">
        <f aca="false">IF(AND($G27&lt;=Z$5,$H27&gt;=Z$4),"■","")</f>
        <v/>
      </c>
      <c r="AA27" s="10" t="str">
        <f aca="false">IF(AND($G27&lt;=AA$5,$H27&gt;=AA$4),"■","")</f>
        <v/>
      </c>
    </row>
    <row r="28" customFormat="false" ht="23.85" hidden="false" customHeight="false" outlineLevel="0" collapsed="false">
      <c r="A28" s="4" t="s">
        <v>236</v>
      </c>
      <c r="B28" s="4" t="s">
        <v>231</v>
      </c>
      <c r="C28" s="4" t="s">
        <v>237</v>
      </c>
      <c r="D28" s="4" t="s">
        <v>238</v>
      </c>
      <c r="E28" s="4" t="s">
        <v>34</v>
      </c>
      <c r="F28" s="11" t="s">
        <v>155</v>
      </c>
      <c r="G28" s="9" t="n">
        <v>1</v>
      </c>
      <c r="H28" s="9" t="n">
        <v>5</v>
      </c>
      <c r="I28" s="12" t="n">
        <f aca="false">H28-G28+1</f>
        <v>5</v>
      </c>
      <c r="J28" s="4" t="s">
        <v>195</v>
      </c>
      <c r="K28" s="4" t="s">
        <v>239</v>
      </c>
      <c r="L28" s="4" t="s">
        <v>240</v>
      </c>
      <c r="M28" s="10" t="str">
        <f aca="false">IF(AND($G28&lt;=M$5,$H28&gt;=M$4),"■","")</f>
        <v/>
      </c>
      <c r="N28" s="10" t="str">
        <f aca="false">IF(AND($G28&lt;=N$5,$H28&gt;=N$4),"■","")</f>
        <v>■</v>
      </c>
      <c r="O28" s="10" t="str">
        <f aca="false">IF(AND($G28&lt;=O$5,$H28&gt;=O$4),"■","")</f>
        <v/>
      </c>
      <c r="P28" s="10" t="str">
        <f aca="false">IF(AND($G28&lt;=P$5,$H28&gt;=P$4),"■","")</f>
        <v/>
      </c>
      <c r="Q28" s="10" t="str">
        <f aca="false">IF(AND($G28&lt;=Q$5,$H28&gt;=Q$4),"■","")</f>
        <v/>
      </c>
      <c r="R28" s="10" t="str">
        <f aca="false">IF(AND($G28&lt;=R$5,$H28&gt;=R$4),"■","")</f>
        <v/>
      </c>
      <c r="S28" s="10" t="str">
        <f aca="false">IF(AND($G28&lt;=S$5,$H28&gt;=S$4),"■","")</f>
        <v/>
      </c>
      <c r="T28" s="10" t="str">
        <f aca="false">IF(AND($G28&lt;=T$5,$H28&gt;=T$4),"■","")</f>
        <v/>
      </c>
      <c r="U28" s="10" t="str">
        <f aca="false">IF(AND($G28&lt;=U$5,$H28&gt;=U$4),"■","")</f>
        <v/>
      </c>
      <c r="V28" s="10" t="str">
        <f aca="false">IF(AND($G28&lt;=V$5,$H28&gt;=V$4),"■","")</f>
        <v/>
      </c>
      <c r="W28" s="10" t="str">
        <f aca="false">IF(AND($G28&lt;=W$5,$H28&gt;=W$4),"■","")</f>
        <v/>
      </c>
      <c r="X28" s="10" t="str">
        <f aca="false">IF(AND($G28&lt;=X$5,$H28&gt;=X$4),"■","")</f>
        <v/>
      </c>
      <c r="Y28" s="10" t="str">
        <f aca="false">IF(AND($G28&lt;=Y$5,$H28&gt;=Y$4),"■","")</f>
        <v/>
      </c>
      <c r="Z28" s="10" t="str">
        <f aca="false">IF(AND($G28&lt;=Z$5,$H28&gt;=Z$4),"■","")</f>
        <v/>
      </c>
      <c r="AA28" s="10" t="str">
        <f aca="false">IF(AND($G28&lt;=AA$5,$H28&gt;=AA$4),"■","")</f>
        <v/>
      </c>
    </row>
    <row r="29" customFormat="false" ht="23.85" hidden="false" customHeight="false" outlineLevel="0" collapsed="false">
      <c r="A29" s="4" t="s">
        <v>241</v>
      </c>
      <c r="B29" s="4" t="s">
        <v>231</v>
      </c>
      <c r="C29" s="4" t="s">
        <v>242</v>
      </c>
      <c r="D29" s="4" t="s">
        <v>243</v>
      </c>
      <c r="E29" s="4" t="s">
        <v>34</v>
      </c>
      <c r="F29" s="11" t="s">
        <v>155</v>
      </c>
      <c r="G29" s="9" t="n">
        <v>1</v>
      </c>
      <c r="H29" s="9" t="n">
        <v>7</v>
      </c>
      <c r="I29" s="12" t="n">
        <f aca="false">H29-G29+1</f>
        <v>7</v>
      </c>
      <c r="J29" s="4" t="s">
        <v>236</v>
      </c>
      <c r="K29" s="4" t="s">
        <v>244</v>
      </c>
      <c r="L29" s="4"/>
      <c r="M29" s="10" t="str">
        <f aca="false">IF(AND($G29&lt;=M$5,$H29&gt;=M$4),"■","")</f>
        <v/>
      </c>
      <c r="N29" s="10" t="str">
        <f aca="false">IF(AND($G29&lt;=N$5,$H29&gt;=N$4),"■","")</f>
        <v>■</v>
      </c>
      <c r="O29" s="10" t="str">
        <f aca="false">IF(AND($G29&lt;=O$5,$H29&gt;=O$4),"■","")</f>
        <v>■</v>
      </c>
      <c r="P29" s="10" t="str">
        <f aca="false">IF(AND($G29&lt;=P$5,$H29&gt;=P$4),"■","")</f>
        <v/>
      </c>
      <c r="Q29" s="10" t="str">
        <f aca="false">IF(AND($G29&lt;=Q$5,$H29&gt;=Q$4),"■","")</f>
        <v/>
      </c>
      <c r="R29" s="10" t="str">
        <f aca="false">IF(AND($G29&lt;=R$5,$H29&gt;=R$4),"■","")</f>
        <v/>
      </c>
      <c r="S29" s="10" t="str">
        <f aca="false">IF(AND($G29&lt;=S$5,$H29&gt;=S$4),"■","")</f>
        <v/>
      </c>
      <c r="T29" s="10" t="str">
        <f aca="false">IF(AND($G29&lt;=T$5,$H29&gt;=T$4),"■","")</f>
        <v/>
      </c>
      <c r="U29" s="10" t="str">
        <f aca="false">IF(AND($G29&lt;=U$5,$H29&gt;=U$4),"■","")</f>
        <v/>
      </c>
      <c r="V29" s="10" t="str">
        <f aca="false">IF(AND($G29&lt;=V$5,$H29&gt;=V$4),"■","")</f>
        <v/>
      </c>
      <c r="W29" s="10" t="str">
        <f aca="false">IF(AND($G29&lt;=W$5,$H29&gt;=W$4),"■","")</f>
        <v/>
      </c>
      <c r="X29" s="10" t="str">
        <f aca="false">IF(AND($G29&lt;=X$5,$H29&gt;=X$4),"■","")</f>
        <v/>
      </c>
      <c r="Y29" s="10" t="str">
        <f aca="false">IF(AND($G29&lt;=Y$5,$H29&gt;=Y$4),"■","")</f>
        <v/>
      </c>
      <c r="Z29" s="10" t="str">
        <f aca="false">IF(AND($G29&lt;=Z$5,$H29&gt;=Z$4),"■","")</f>
        <v/>
      </c>
      <c r="AA29" s="10" t="str">
        <f aca="false">IF(AND($G29&lt;=AA$5,$H29&gt;=AA$4),"■","")</f>
        <v/>
      </c>
    </row>
    <row r="30" customFormat="false" ht="23.85" hidden="false" customHeight="false" outlineLevel="0" collapsed="false">
      <c r="A30" s="4" t="s">
        <v>245</v>
      </c>
      <c r="B30" s="4" t="s">
        <v>231</v>
      </c>
      <c r="C30" s="4" t="s">
        <v>246</v>
      </c>
      <c r="D30" s="4" t="s">
        <v>247</v>
      </c>
      <c r="E30" s="4" t="s">
        <v>34</v>
      </c>
      <c r="F30" s="11" t="s">
        <v>155</v>
      </c>
      <c r="G30" s="9" t="n">
        <v>1</v>
      </c>
      <c r="H30" s="9" t="n">
        <v>7</v>
      </c>
      <c r="I30" s="12" t="n">
        <f aca="false">H30-G30+1</f>
        <v>7</v>
      </c>
      <c r="J30" s="4" t="s">
        <v>236</v>
      </c>
      <c r="K30" s="4" t="s">
        <v>248</v>
      </c>
      <c r="L30" s="4"/>
      <c r="M30" s="10" t="str">
        <f aca="false">IF(AND($G30&lt;=M$5,$H30&gt;=M$4),"■","")</f>
        <v/>
      </c>
      <c r="N30" s="10" t="str">
        <f aca="false">IF(AND($G30&lt;=N$5,$H30&gt;=N$4),"■","")</f>
        <v>■</v>
      </c>
      <c r="O30" s="10" t="str">
        <f aca="false">IF(AND($G30&lt;=O$5,$H30&gt;=O$4),"■","")</f>
        <v>■</v>
      </c>
      <c r="P30" s="10" t="str">
        <f aca="false">IF(AND($G30&lt;=P$5,$H30&gt;=P$4),"■","")</f>
        <v/>
      </c>
      <c r="Q30" s="10" t="str">
        <f aca="false">IF(AND($G30&lt;=Q$5,$H30&gt;=Q$4),"■","")</f>
        <v/>
      </c>
      <c r="R30" s="10" t="str">
        <f aca="false">IF(AND($G30&lt;=R$5,$H30&gt;=R$4),"■","")</f>
        <v/>
      </c>
      <c r="S30" s="10" t="str">
        <f aca="false">IF(AND($G30&lt;=S$5,$H30&gt;=S$4),"■","")</f>
        <v/>
      </c>
      <c r="T30" s="10" t="str">
        <f aca="false">IF(AND($G30&lt;=T$5,$H30&gt;=T$4),"■","")</f>
        <v/>
      </c>
      <c r="U30" s="10" t="str">
        <f aca="false">IF(AND($G30&lt;=U$5,$H30&gt;=U$4),"■","")</f>
        <v/>
      </c>
      <c r="V30" s="10" t="str">
        <f aca="false">IF(AND($G30&lt;=V$5,$H30&gt;=V$4),"■","")</f>
        <v/>
      </c>
      <c r="W30" s="10" t="str">
        <f aca="false">IF(AND($G30&lt;=W$5,$H30&gt;=W$4),"■","")</f>
        <v/>
      </c>
      <c r="X30" s="10" t="str">
        <f aca="false">IF(AND($G30&lt;=X$5,$H30&gt;=X$4),"■","")</f>
        <v/>
      </c>
      <c r="Y30" s="10" t="str">
        <f aca="false">IF(AND($G30&lt;=Y$5,$H30&gt;=Y$4),"■","")</f>
        <v/>
      </c>
      <c r="Z30" s="10" t="str">
        <f aca="false">IF(AND($G30&lt;=Z$5,$H30&gt;=Z$4),"■","")</f>
        <v/>
      </c>
      <c r="AA30" s="10" t="str">
        <f aca="false">IF(AND($G30&lt;=AA$5,$H30&gt;=AA$4),"■","")</f>
        <v/>
      </c>
    </row>
    <row r="31" customFormat="false" ht="23.85" hidden="false" customHeight="false" outlineLevel="0" collapsed="false">
      <c r="A31" s="4" t="s">
        <v>249</v>
      </c>
      <c r="B31" s="4" t="s">
        <v>231</v>
      </c>
      <c r="C31" s="4" t="s">
        <v>250</v>
      </c>
      <c r="D31" s="4" t="s">
        <v>251</v>
      </c>
      <c r="E31" s="4" t="s">
        <v>26</v>
      </c>
      <c r="F31" s="11" t="s">
        <v>155</v>
      </c>
      <c r="G31" s="9" t="n">
        <v>2</v>
      </c>
      <c r="H31" s="9" t="n">
        <v>3</v>
      </c>
      <c r="I31" s="12" t="n">
        <f aca="false">H31-G31+1</f>
        <v>2</v>
      </c>
      <c r="J31" s="4" t="s">
        <v>199</v>
      </c>
      <c r="K31" s="4" t="s">
        <v>202</v>
      </c>
      <c r="L31" s="4"/>
      <c r="M31" s="10" t="str">
        <f aca="false">IF(AND($G31&lt;=M$5,$H31&gt;=M$4),"■","")</f>
        <v/>
      </c>
      <c r="N31" s="10" t="str">
        <f aca="false">IF(AND($G31&lt;=N$5,$H31&gt;=N$4),"■","")</f>
        <v>■</v>
      </c>
      <c r="O31" s="10" t="str">
        <f aca="false">IF(AND($G31&lt;=O$5,$H31&gt;=O$4),"■","")</f>
        <v/>
      </c>
      <c r="P31" s="10" t="str">
        <f aca="false">IF(AND($G31&lt;=P$5,$H31&gt;=P$4),"■","")</f>
        <v/>
      </c>
      <c r="Q31" s="10" t="str">
        <f aca="false">IF(AND($G31&lt;=Q$5,$H31&gt;=Q$4),"■","")</f>
        <v/>
      </c>
      <c r="R31" s="10" t="str">
        <f aca="false">IF(AND($G31&lt;=R$5,$H31&gt;=R$4),"■","")</f>
        <v/>
      </c>
      <c r="S31" s="10" t="str">
        <f aca="false">IF(AND($G31&lt;=S$5,$H31&gt;=S$4),"■","")</f>
        <v/>
      </c>
      <c r="T31" s="10" t="str">
        <f aca="false">IF(AND($G31&lt;=T$5,$H31&gt;=T$4),"■","")</f>
        <v/>
      </c>
      <c r="U31" s="10" t="str">
        <f aca="false">IF(AND($G31&lt;=U$5,$H31&gt;=U$4),"■","")</f>
        <v/>
      </c>
      <c r="V31" s="10" t="str">
        <f aca="false">IF(AND($G31&lt;=V$5,$H31&gt;=V$4),"■","")</f>
        <v/>
      </c>
      <c r="W31" s="10" t="str">
        <f aca="false">IF(AND($G31&lt;=W$5,$H31&gt;=W$4),"■","")</f>
        <v/>
      </c>
      <c r="X31" s="10" t="str">
        <f aca="false">IF(AND($G31&lt;=X$5,$H31&gt;=X$4),"■","")</f>
        <v/>
      </c>
      <c r="Y31" s="10" t="str">
        <f aca="false">IF(AND($G31&lt;=Y$5,$H31&gt;=Y$4),"■","")</f>
        <v/>
      </c>
      <c r="Z31" s="10" t="str">
        <f aca="false">IF(AND($G31&lt;=Z$5,$H31&gt;=Z$4),"■","")</f>
        <v/>
      </c>
      <c r="AA31" s="10" t="str">
        <f aca="false">IF(AND($G31&lt;=AA$5,$H31&gt;=AA$4),"■","")</f>
        <v/>
      </c>
    </row>
    <row r="32" customFormat="false" ht="23.85" hidden="false" customHeight="false" outlineLevel="0" collapsed="false">
      <c r="A32" s="4" t="s">
        <v>252</v>
      </c>
      <c r="B32" s="4" t="s">
        <v>231</v>
      </c>
      <c r="C32" s="4" t="s">
        <v>253</v>
      </c>
      <c r="D32" s="4" t="s">
        <v>254</v>
      </c>
      <c r="E32" s="4" t="s">
        <v>26</v>
      </c>
      <c r="F32" s="11" t="s">
        <v>141</v>
      </c>
      <c r="G32" s="9" t="n">
        <v>3</v>
      </c>
      <c r="H32" s="9" t="n">
        <v>7</v>
      </c>
      <c r="I32" s="12" t="n">
        <f aca="false">H32-G32+1</f>
        <v>5</v>
      </c>
      <c r="J32" s="4" t="s">
        <v>230</v>
      </c>
      <c r="K32" s="4" t="s">
        <v>255</v>
      </c>
      <c r="L32" s="4" t="s">
        <v>256</v>
      </c>
      <c r="M32" s="10" t="str">
        <f aca="false">IF(AND($G32&lt;=M$5,$H32&gt;=M$4),"■","")</f>
        <v/>
      </c>
      <c r="N32" s="10" t="str">
        <f aca="false">IF(AND($G32&lt;=N$5,$H32&gt;=N$4),"■","")</f>
        <v>■</v>
      </c>
      <c r="O32" s="10" t="str">
        <f aca="false">IF(AND($G32&lt;=O$5,$H32&gt;=O$4),"■","")</f>
        <v>■</v>
      </c>
      <c r="P32" s="10" t="str">
        <f aca="false">IF(AND($G32&lt;=P$5,$H32&gt;=P$4),"■","")</f>
        <v/>
      </c>
      <c r="Q32" s="10" t="str">
        <f aca="false">IF(AND($G32&lt;=Q$5,$H32&gt;=Q$4),"■","")</f>
        <v/>
      </c>
      <c r="R32" s="10" t="str">
        <f aca="false">IF(AND($G32&lt;=R$5,$H32&gt;=R$4),"■","")</f>
        <v/>
      </c>
      <c r="S32" s="10" t="str">
        <f aca="false">IF(AND($G32&lt;=S$5,$H32&gt;=S$4),"■","")</f>
        <v/>
      </c>
      <c r="T32" s="10" t="str">
        <f aca="false">IF(AND($G32&lt;=T$5,$H32&gt;=T$4),"■","")</f>
        <v/>
      </c>
      <c r="U32" s="10" t="str">
        <f aca="false">IF(AND($G32&lt;=U$5,$H32&gt;=U$4),"■","")</f>
        <v/>
      </c>
      <c r="V32" s="10" t="str">
        <f aca="false">IF(AND($G32&lt;=V$5,$H32&gt;=V$4),"■","")</f>
        <v/>
      </c>
      <c r="W32" s="10" t="str">
        <f aca="false">IF(AND($G32&lt;=W$5,$H32&gt;=W$4),"■","")</f>
        <v/>
      </c>
      <c r="X32" s="10" t="str">
        <f aca="false">IF(AND($G32&lt;=X$5,$H32&gt;=X$4),"■","")</f>
        <v/>
      </c>
      <c r="Y32" s="10" t="str">
        <f aca="false">IF(AND($G32&lt;=Y$5,$H32&gt;=Y$4),"■","")</f>
        <v/>
      </c>
      <c r="Z32" s="10" t="str">
        <f aca="false">IF(AND($G32&lt;=Z$5,$H32&gt;=Z$4),"■","")</f>
        <v/>
      </c>
      <c r="AA32" s="10" t="str">
        <f aca="false">IF(AND($G32&lt;=AA$5,$H32&gt;=AA$4),"■","")</f>
        <v/>
      </c>
    </row>
    <row r="33" customFormat="false" ht="23.85" hidden="false" customHeight="false" outlineLevel="0" collapsed="false">
      <c r="A33" s="4" t="s">
        <v>257</v>
      </c>
      <c r="B33" s="4" t="s">
        <v>231</v>
      </c>
      <c r="C33" s="4" t="s">
        <v>258</v>
      </c>
      <c r="D33" s="4" t="s">
        <v>259</v>
      </c>
      <c r="E33" s="4" t="s">
        <v>26</v>
      </c>
      <c r="F33" s="11" t="s">
        <v>141</v>
      </c>
      <c r="G33" s="9" t="n">
        <v>5</v>
      </c>
      <c r="H33" s="9" t="n">
        <v>7</v>
      </c>
      <c r="I33" s="12" t="n">
        <f aca="false">H33-G33+1</f>
        <v>3</v>
      </c>
      <c r="J33" s="4" t="s">
        <v>252</v>
      </c>
      <c r="K33" s="4" t="s">
        <v>260</v>
      </c>
      <c r="L33" s="4"/>
      <c r="M33" s="10" t="str">
        <f aca="false">IF(AND($G33&lt;=M$5,$H33&gt;=M$4),"■","")</f>
        <v/>
      </c>
      <c r="N33" s="10" t="str">
        <f aca="false">IF(AND($G33&lt;=N$5,$H33&gt;=N$4),"■","")</f>
        <v>■</v>
      </c>
      <c r="O33" s="10" t="str">
        <f aca="false">IF(AND($G33&lt;=O$5,$H33&gt;=O$4),"■","")</f>
        <v>■</v>
      </c>
      <c r="P33" s="10" t="str">
        <f aca="false">IF(AND($G33&lt;=P$5,$H33&gt;=P$4),"■","")</f>
        <v/>
      </c>
      <c r="Q33" s="10" t="str">
        <f aca="false">IF(AND($G33&lt;=Q$5,$H33&gt;=Q$4),"■","")</f>
        <v/>
      </c>
      <c r="R33" s="10" t="str">
        <f aca="false">IF(AND($G33&lt;=R$5,$H33&gt;=R$4),"■","")</f>
        <v/>
      </c>
      <c r="S33" s="10" t="str">
        <f aca="false">IF(AND($G33&lt;=S$5,$H33&gt;=S$4),"■","")</f>
        <v/>
      </c>
      <c r="T33" s="10" t="str">
        <f aca="false">IF(AND($G33&lt;=T$5,$H33&gt;=T$4),"■","")</f>
        <v/>
      </c>
      <c r="U33" s="10" t="str">
        <f aca="false">IF(AND($G33&lt;=U$5,$H33&gt;=U$4),"■","")</f>
        <v/>
      </c>
      <c r="V33" s="10" t="str">
        <f aca="false">IF(AND($G33&lt;=V$5,$H33&gt;=V$4),"■","")</f>
        <v/>
      </c>
      <c r="W33" s="10" t="str">
        <f aca="false">IF(AND($G33&lt;=W$5,$H33&gt;=W$4),"■","")</f>
        <v/>
      </c>
      <c r="X33" s="10" t="str">
        <f aca="false">IF(AND($G33&lt;=X$5,$H33&gt;=X$4),"■","")</f>
        <v/>
      </c>
      <c r="Y33" s="10" t="str">
        <f aca="false">IF(AND($G33&lt;=Y$5,$H33&gt;=Y$4),"■","")</f>
        <v/>
      </c>
      <c r="Z33" s="10" t="str">
        <f aca="false">IF(AND($G33&lt;=Z$5,$H33&gt;=Z$4),"■","")</f>
        <v/>
      </c>
      <c r="AA33" s="10" t="str">
        <f aca="false">IF(AND($G33&lt;=AA$5,$H33&gt;=AA$4),"■","")</f>
        <v/>
      </c>
    </row>
    <row r="34" customFormat="false" ht="23.85" hidden="false" customHeight="false" outlineLevel="0" collapsed="false">
      <c r="A34" s="4" t="s">
        <v>261</v>
      </c>
      <c r="B34" s="4" t="s">
        <v>231</v>
      </c>
      <c r="C34" s="4" t="s">
        <v>262</v>
      </c>
      <c r="D34" s="4" t="s">
        <v>263</v>
      </c>
      <c r="E34" s="4" t="s">
        <v>26</v>
      </c>
      <c r="F34" s="11" t="s">
        <v>141</v>
      </c>
      <c r="G34" s="9" t="n">
        <v>1</v>
      </c>
      <c r="H34" s="9" t="n">
        <v>1</v>
      </c>
      <c r="I34" s="12" t="n">
        <f aca="false">H34-G34+1</f>
        <v>1</v>
      </c>
      <c r="J34" s="4"/>
      <c r="K34" s="4" t="s">
        <v>264</v>
      </c>
      <c r="L34" s="4"/>
      <c r="M34" s="10" t="str">
        <f aca="false">IF(AND($G34&lt;=M$5,$H34&gt;=M$4),"■","")</f>
        <v/>
      </c>
      <c r="N34" s="10" t="str">
        <f aca="false">IF(AND($G34&lt;=N$5,$H34&gt;=N$4),"■","")</f>
        <v>■</v>
      </c>
      <c r="O34" s="10" t="str">
        <f aca="false">IF(AND($G34&lt;=O$5,$H34&gt;=O$4),"■","")</f>
        <v/>
      </c>
      <c r="P34" s="10" t="str">
        <f aca="false">IF(AND($G34&lt;=P$5,$H34&gt;=P$4),"■","")</f>
        <v/>
      </c>
      <c r="Q34" s="10" t="str">
        <f aca="false">IF(AND($G34&lt;=Q$5,$H34&gt;=Q$4),"■","")</f>
        <v/>
      </c>
      <c r="R34" s="10" t="str">
        <f aca="false">IF(AND($G34&lt;=R$5,$H34&gt;=R$4),"■","")</f>
        <v/>
      </c>
      <c r="S34" s="10" t="str">
        <f aca="false">IF(AND($G34&lt;=S$5,$H34&gt;=S$4),"■","")</f>
        <v/>
      </c>
      <c r="T34" s="10" t="str">
        <f aca="false">IF(AND($G34&lt;=T$5,$H34&gt;=T$4),"■","")</f>
        <v/>
      </c>
      <c r="U34" s="10" t="str">
        <f aca="false">IF(AND($G34&lt;=U$5,$H34&gt;=U$4),"■","")</f>
        <v/>
      </c>
      <c r="V34" s="10" t="str">
        <f aca="false">IF(AND($G34&lt;=V$5,$H34&gt;=V$4),"■","")</f>
        <v/>
      </c>
      <c r="W34" s="10" t="str">
        <f aca="false">IF(AND($G34&lt;=W$5,$H34&gt;=W$4),"■","")</f>
        <v/>
      </c>
      <c r="X34" s="10" t="str">
        <f aca="false">IF(AND($G34&lt;=X$5,$H34&gt;=X$4),"■","")</f>
        <v/>
      </c>
      <c r="Y34" s="10" t="str">
        <f aca="false">IF(AND($G34&lt;=Y$5,$H34&gt;=Y$4),"■","")</f>
        <v/>
      </c>
      <c r="Z34" s="10" t="str">
        <f aca="false">IF(AND($G34&lt;=Z$5,$H34&gt;=Z$4),"■","")</f>
        <v/>
      </c>
      <c r="AA34" s="10" t="str">
        <f aca="false">IF(AND($G34&lt;=AA$5,$H34&gt;=AA$4),"■","")</f>
        <v/>
      </c>
    </row>
    <row r="35" customFormat="false" ht="23.85" hidden="false" customHeight="false" outlineLevel="0" collapsed="false">
      <c r="A35" s="4" t="s">
        <v>265</v>
      </c>
      <c r="B35" s="4" t="s">
        <v>266</v>
      </c>
      <c r="C35" s="4" t="s">
        <v>267</v>
      </c>
      <c r="D35" s="4" t="s">
        <v>268</v>
      </c>
      <c r="E35" s="4" t="s">
        <v>30</v>
      </c>
      <c r="F35" s="11" t="s">
        <v>141</v>
      </c>
      <c r="G35" s="9" t="n">
        <v>5</v>
      </c>
      <c r="H35" s="9" t="n">
        <v>7</v>
      </c>
      <c r="I35" s="12" t="n">
        <f aca="false">H35-G35+1</f>
        <v>3</v>
      </c>
      <c r="J35" s="4" t="s">
        <v>269</v>
      </c>
      <c r="K35" s="4" t="s">
        <v>270</v>
      </c>
      <c r="L35" s="4"/>
      <c r="M35" s="10" t="str">
        <f aca="false">IF(AND($G35&lt;=M$5,$H35&gt;=M$4),"■","")</f>
        <v/>
      </c>
      <c r="N35" s="10" t="str">
        <f aca="false">IF(AND($G35&lt;=N$5,$H35&gt;=N$4),"■","")</f>
        <v>■</v>
      </c>
      <c r="O35" s="10" t="str">
        <f aca="false">IF(AND($G35&lt;=O$5,$H35&gt;=O$4),"■","")</f>
        <v>■</v>
      </c>
      <c r="P35" s="10" t="str">
        <f aca="false">IF(AND($G35&lt;=P$5,$H35&gt;=P$4),"■","")</f>
        <v/>
      </c>
      <c r="Q35" s="10" t="str">
        <f aca="false">IF(AND($G35&lt;=Q$5,$H35&gt;=Q$4),"■","")</f>
        <v/>
      </c>
      <c r="R35" s="10" t="str">
        <f aca="false">IF(AND($G35&lt;=R$5,$H35&gt;=R$4),"■","")</f>
        <v/>
      </c>
      <c r="S35" s="10" t="str">
        <f aca="false">IF(AND($G35&lt;=S$5,$H35&gt;=S$4),"■","")</f>
        <v/>
      </c>
      <c r="T35" s="10" t="str">
        <f aca="false">IF(AND($G35&lt;=T$5,$H35&gt;=T$4),"■","")</f>
        <v/>
      </c>
      <c r="U35" s="10" t="str">
        <f aca="false">IF(AND($G35&lt;=U$5,$H35&gt;=U$4),"■","")</f>
        <v/>
      </c>
      <c r="V35" s="10" t="str">
        <f aca="false">IF(AND($G35&lt;=V$5,$H35&gt;=V$4),"■","")</f>
        <v/>
      </c>
      <c r="W35" s="10" t="str">
        <f aca="false">IF(AND($G35&lt;=W$5,$H35&gt;=W$4),"■","")</f>
        <v/>
      </c>
      <c r="X35" s="10" t="str">
        <f aca="false">IF(AND($G35&lt;=X$5,$H35&gt;=X$4),"■","")</f>
        <v/>
      </c>
      <c r="Y35" s="10" t="str">
        <f aca="false">IF(AND($G35&lt;=Y$5,$H35&gt;=Y$4),"■","")</f>
        <v/>
      </c>
      <c r="Z35" s="10" t="str">
        <f aca="false">IF(AND($G35&lt;=Z$5,$H35&gt;=Z$4),"■","")</f>
        <v/>
      </c>
      <c r="AA35" s="10" t="str">
        <f aca="false">IF(AND($G35&lt;=AA$5,$H35&gt;=AA$4),"■","")</f>
        <v/>
      </c>
    </row>
    <row r="36" customFormat="false" ht="35.05" hidden="false" customHeight="false" outlineLevel="0" collapsed="false">
      <c r="A36" s="4" t="s">
        <v>271</v>
      </c>
      <c r="B36" s="4" t="s">
        <v>266</v>
      </c>
      <c r="C36" s="4" t="s">
        <v>272</v>
      </c>
      <c r="D36" s="4" t="s">
        <v>273</v>
      </c>
      <c r="E36" s="4" t="s">
        <v>26</v>
      </c>
      <c r="F36" s="11" t="s">
        <v>155</v>
      </c>
      <c r="G36" s="9" t="n">
        <v>5</v>
      </c>
      <c r="H36" s="9" t="n">
        <v>10</v>
      </c>
      <c r="I36" s="12" t="n">
        <f aca="false">H36-G36+1</f>
        <v>6</v>
      </c>
      <c r="J36" s="4" t="s">
        <v>265</v>
      </c>
      <c r="K36" s="4" t="s">
        <v>228</v>
      </c>
      <c r="L36" s="4"/>
      <c r="M36" s="10" t="str">
        <f aca="false">IF(AND($G36&lt;=M$5,$H36&gt;=M$4),"■","")</f>
        <v/>
      </c>
      <c r="N36" s="10" t="str">
        <f aca="false">IF(AND($G36&lt;=N$5,$H36&gt;=N$4),"■","")</f>
        <v>■</v>
      </c>
      <c r="O36" s="10" t="str">
        <f aca="false">IF(AND($G36&lt;=O$5,$H36&gt;=O$4),"■","")</f>
        <v>■</v>
      </c>
      <c r="P36" s="10" t="str">
        <f aca="false">IF(AND($G36&lt;=P$5,$H36&gt;=P$4),"■","")</f>
        <v/>
      </c>
      <c r="Q36" s="10" t="str">
        <f aca="false">IF(AND($G36&lt;=Q$5,$H36&gt;=Q$4),"■","")</f>
        <v/>
      </c>
      <c r="R36" s="10" t="str">
        <f aca="false">IF(AND($G36&lt;=R$5,$H36&gt;=R$4),"■","")</f>
        <v/>
      </c>
      <c r="S36" s="10" t="str">
        <f aca="false">IF(AND($G36&lt;=S$5,$H36&gt;=S$4),"■","")</f>
        <v/>
      </c>
      <c r="T36" s="10" t="str">
        <f aca="false">IF(AND($G36&lt;=T$5,$H36&gt;=T$4),"■","")</f>
        <v/>
      </c>
      <c r="U36" s="10" t="str">
        <f aca="false">IF(AND($G36&lt;=U$5,$H36&gt;=U$4),"■","")</f>
        <v/>
      </c>
      <c r="V36" s="10" t="str">
        <f aca="false">IF(AND($G36&lt;=V$5,$H36&gt;=V$4),"■","")</f>
        <v/>
      </c>
      <c r="W36" s="10" t="str">
        <f aca="false">IF(AND($G36&lt;=W$5,$H36&gt;=W$4),"■","")</f>
        <v/>
      </c>
      <c r="X36" s="10" t="str">
        <f aca="false">IF(AND($G36&lt;=X$5,$H36&gt;=X$4),"■","")</f>
        <v/>
      </c>
      <c r="Y36" s="10" t="str">
        <f aca="false">IF(AND($G36&lt;=Y$5,$H36&gt;=Y$4),"■","")</f>
        <v/>
      </c>
      <c r="Z36" s="10" t="str">
        <f aca="false">IF(AND($G36&lt;=Z$5,$H36&gt;=Z$4),"■","")</f>
        <v/>
      </c>
      <c r="AA36" s="10" t="str">
        <f aca="false">IF(AND($G36&lt;=AA$5,$H36&gt;=AA$4),"■","")</f>
        <v/>
      </c>
    </row>
    <row r="37" customFormat="false" ht="23.85" hidden="false" customHeight="false" outlineLevel="0" collapsed="false">
      <c r="A37" s="4" t="s">
        <v>274</v>
      </c>
      <c r="B37" s="4" t="s">
        <v>266</v>
      </c>
      <c r="C37" s="4" t="s">
        <v>275</v>
      </c>
      <c r="D37" s="4" t="s">
        <v>276</v>
      </c>
      <c r="E37" s="4" t="s">
        <v>26</v>
      </c>
      <c r="F37" s="11" t="s">
        <v>155</v>
      </c>
      <c r="G37" s="9" t="n">
        <v>5</v>
      </c>
      <c r="H37" s="9" t="n">
        <v>10</v>
      </c>
      <c r="I37" s="12" t="n">
        <f aca="false">H37-G37+1</f>
        <v>6</v>
      </c>
      <c r="J37" s="4" t="s">
        <v>271</v>
      </c>
      <c r="K37" s="4" t="s">
        <v>277</v>
      </c>
      <c r="L37" s="4"/>
      <c r="M37" s="10" t="str">
        <f aca="false">IF(AND($G37&lt;=M$5,$H37&gt;=M$4),"■","")</f>
        <v/>
      </c>
      <c r="N37" s="10" t="str">
        <f aca="false">IF(AND($G37&lt;=N$5,$H37&gt;=N$4),"■","")</f>
        <v>■</v>
      </c>
      <c r="O37" s="10" t="str">
        <f aca="false">IF(AND($G37&lt;=O$5,$H37&gt;=O$4),"■","")</f>
        <v>■</v>
      </c>
      <c r="P37" s="10" t="str">
        <f aca="false">IF(AND($G37&lt;=P$5,$H37&gt;=P$4),"■","")</f>
        <v/>
      </c>
      <c r="Q37" s="10" t="str">
        <f aca="false">IF(AND($G37&lt;=Q$5,$H37&gt;=Q$4),"■","")</f>
        <v/>
      </c>
      <c r="R37" s="10" t="str">
        <f aca="false">IF(AND($G37&lt;=R$5,$H37&gt;=R$4),"■","")</f>
        <v/>
      </c>
      <c r="S37" s="10" t="str">
        <f aca="false">IF(AND($G37&lt;=S$5,$H37&gt;=S$4),"■","")</f>
        <v/>
      </c>
      <c r="T37" s="10" t="str">
        <f aca="false">IF(AND($G37&lt;=T$5,$H37&gt;=T$4),"■","")</f>
        <v/>
      </c>
      <c r="U37" s="10" t="str">
        <f aca="false">IF(AND($G37&lt;=U$5,$H37&gt;=U$4),"■","")</f>
        <v/>
      </c>
      <c r="V37" s="10" t="str">
        <f aca="false">IF(AND($G37&lt;=V$5,$H37&gt;=V$4),"■","")</f>
        <v/>
      </c>
      <c r="W37" s="10" t="str">
        <f aca="false">IF(AND($G37&lt;=W$5,$H37&gt;=W$4),"■","")</f>
        <v/>
      </c>
      <c r="X37" s="10" t="str">
        <f aca="false">IF(AND($G37&lt;=X$5,$H37&gt;=X$4),"■","")</f>
        <v/>
      </c>
      <c r="Y37" s="10" t="str">
        <f aca="false">IF(AND($G37&lt;=Y$5,$H37&gt;=Y$4),"■","")</f>
        <v/>
      </c>
      <c r="Z37" s="10" t="str">
        <f aca="false">IF(AND($G37&lt;=Z$5,$H37&gt;=Z$4),"■","")</f>
        <v/>
      </c>
      <c r="AA37" s="10" t="str">
        <f aca="false">IF(AND($G37&lt;=AA$5,$H37&gt;=AA$4),"■","")</f>
        <v/>
      </c>
    </row>
    <row r="38" customFormat="false" ht="23.85" hidden="false" customHeight="false" outlineLevel="0" collapsed="false">
      <c r="A38" s="4" t="s">
        <v>278</v>
      </c>
      <c r="B38" s="4" t="s">
        <v>266</v>
      </c>
      <c r="C38" s="4" t="s">
        <v>279</v>
      </c>
      <c r="D38" s="4" t="s">
        <v>280</v>
      </c>
      <c r="E38" s="4" t="s">
        <v>26</v>
      </c>
      <c r="F38" s="11" t="s">
        <v>155</v>
      </c>
      <c r="G38" s="9" t="n">
        <v>6</v>
      </c>
      <c r="H38" s="9" t="n">
        <v>11</v>
      </c>
      <c r="I38" s="12" t="n">
        <f aca="false">H38-G38+1</f>
        <v>6</v>
      </c>
      <c r="J38" s="4" t="s">
        <v>271</v>
      </c>
      <c r="K38" s="4" t="s">
        <v>281</v>
      </c>
      <c r="L38" s="4"/>
      <c r="M38" s="10" t="str">
        <f aca="false">IF(AND($G38&lt;=M$5,$H38&gt;=M$4),"■","")</f>
        <v/>
      </c>
      <c r="N38" s="10" t="str">
        <f aca="false">IF(AND($G38&lt;=N$5,$H38&gt;=N$4),"■","")</f>
        <v>■</v>
      </c>
      <c r="O38" s="10" t="str">
        <f aca="false">IF(AND($G38&lt;=O$5,$H38&gt;=O$4),"■","")</f>
        <v>■</v>
      </c>
      <c r="P38" s="10" t="str">
        <f aca="false">IF(AND($G38&lt;=P$5,$H38&gt;=P$4),"■","")</f>
        <v/>
      </c>
      <c r="Q38" s="10" t="str">
        <f aca="false">IF(AND($G38&lt;=Q$5,$H38&gt;=Q$4),"■","")</f>
        <v/>
      </c>
      <c r="R38" s="10" t="str">
        <f aca="false">IF(AND($G38&lt;=R$5,$H38&gt;=R$4),"■","")</f>
        <v/>
      </c>
      <c r="S38" s="10" t="str">
        <f aca="false">IF(AND($G38&lt;=S$5,$H38&gt;=S$4),"■","")</f>
        <v/>
      </c>
      <c r="T38" s="10" t="str">
        <f aca="false">IF(AND($G38&lt;=T$5,$H38&gt;=T$4),"■","")</f>
        <v/>
      </c>
      <c r="U38" s="10" t="str">
        <f aca="false">IF(AND($G38&lt;=U$5,$H38&gt;=U$4),"■","")</f>
        <v/>
      </c>
      <c r="V38" s="10" t="str">
        <f aca="false">IF(AND($G38&lt;=V$5,$H38&gt;=V$4),"■","")</f>
        <v/>
      </c>
      <c r="W38" s="10" t="str">
        <f aca="false">IF(AND($G38&lt;=W$5,$H38&gt;=W$4),"■","")</f>
        <v/>
      </c>
      <c r="X38" s="10" t="str">
        <f aca="false">IF(AND($G38&lt;=X$5,$H38&gt;=X$4),"■","")</f>
        <v/>
      </c>
      <c r="Y38" s="10" t="str">
        <f aca="false">IF(AND($G38&lt;=Y$5,$H38&gt;=Y$4),"■","")</f>
        <v/>
      </c>
      <c r="Z38" s="10" t="str">
        <f aca="false">IF(AND($G38&lt;=Z$5,$H38&gt;=Z$4),"■","")</f>
        <v/>
      </c>
      <c r="AA38" s="10" t="str">
        <f aca="false">IF(AND($G38&lt;=AA$5,$H38&gt;=AA$4),"■","")</f>
        <v/>
      </c>
    </row>
    <row r="39" customFormat="false" ht="15" hidden="false" customHeight="false" outlineLevel="0" collapsed="false">
      <c r="A39" s="4" t="s">
        <v>282</v>
      </c>
      <c r="B39" s="4" t="s">
        <v>266</v>
      </c>
      <c r="C39" s="4" t="s">
        <v>283</v>
      </c>
      <c r="D39" s="4" t="s">
        <v>284</v>
      </c>
      <c r="E39" s="4" t="s">
        <v>26</v>
      </c>
      <c r="F39" s="11" t="s">
        <v>141</v>
      </c>
      <c r="G39" s="9" t="n">
        <v>6</v>
      </c>
      <c r="H39" s="9" t="n">
        <v>11</v>
      </c>
      <c r="I39" s="12" t="n">
        <f aca="false">H39-G39+1</f>
        <v>6</v>
      </c>
      <c r="J39" s="4" t="s">
        <v>271</v>
      </c>
      <c r="K39" s="4" t="s">
        <v>285</v>
      </c>
      <c r="L39" s="4"/>
      <c r="M39" s="10" t="str">
        <f aca="false">IF(AND($G39&lt;=M$5,$H39&gt;=M$4),"■","")</f>
        <v/>
      </c>
      <c r="N39" s="10" t="str">
        <f aca="false">IF(AND($G39&lt;=N$5,$H39&gt;=N$4),"■","")</f>
        <v>■</v>
      </c>
      <c r="O39" s="10" t="str">
        <f aca="false">IF(AND($G39&lt;=O$5,$H39&gt;=O$4),"■","")</f>
        <v>■</v>
      </c>
      <c r="P39" s="10" t="str">
        <f aca="false">IF(AND($G39&lt;=P$5,$H39&gt;=P$4),"■","")</f>
        <v/>
      </c>
      <c r="Q39" s="10" t="str">
        <f aca="false">IF(AND($G39&lt;=Q$5,$H39&gt;=Q$4),"■","")</f>
        <v/>
      </c>
      <c r="R39" s="10" t="str">
        <f aca="false">IF(AND($G39&lt;=R$5,$H39&gt;=R$4),"■","")</f>
        <v/>
      </c>
      <c r="S39" s="10" t="str">
        <f aca="false">IF(AND($G39&lt;=S$5,$H39&gt;=S$4),"■","")</f>
        <v/>
      </c>
      <c r="T39" s="10" t="str">
        <f aca="false">IF(AND($G39&lt;=T$5,$H39&gt;=T$4),"■","")</f>
        <v/>
      </c>
      <c r="U39" s="10" t="str">
        <f aca="false">IF(AND($G39&lt;=U$5,$H39&gt;=U$4),"■","")</f>
        <v/>
      </c>
      <c r="V39" s="10" t="str">
        <f aca="false">IF(AND($G39&lt;=V$5,$H39&gt;=V$4),"■","")</f>
        <v/>
      </c>
      <c r="W39" s="10" t="str">
        <f aca="false">IF(AND($G39&lt;=W$5,$H39&gt;=W$4),"■","")</f>
        <v/>
      </c>
      <c r="X39" s="10" t="str">
        <f aca="false">IF(AND($G39&lt;=X$5,$H39&gt;=X$4),"■","")</f>
        <v/>
      </c>
      <c r="Y39" s="10" t="str">
        <f aca="false">IF(AND($G39&lt;=Y$5,$H39&gt;=Y$4),"■","")</f>
        <v/>
      </c>
      <c r="Z39" s="10" t="str">
        <f aca="false">IF(AND($G39&lt;=Z$5,$H39&gt;=Z$4),"■","")</f>
        <v/>
      </c>
      <c r="AA39" s="10" t="str">
        <f aca="false">IF(AND($G39&lt;=AA$5,$H39&gt;=AA$4),"■","")</f>
        <v/>
      </c>
    </row>
    <row r="40" customFormat="false" ht="23.85" hidden="false" customHeight="false" outlineLevel="0" collapsed="false">
      <c r="A40" s="4" t="s">
        <v>286</v>
      </c>
      <c r="B40" s="4" t="s">
        <v>287</v>
      </c>
      <c r="C40" s="4" t="s">
        <v>288</v>
      </c>
      <c r="D40" s="4" t="s">
        <v>289</v>
      </c>
      <c r="E40" s="4" t="s">
        <v>26</v>
      </c>
      <c r="F40" s="11" t="s">
        <v>141</v>
      </c>
      <c r="G40" s="9" t="n">
        <v>7</v>
      </c>
      <c r="H40" s="9" t="n">
        <v>12</v>
      </c>
      <c r="I40" s="12" t="n">
        <f aca="false">H40-G40+1</f>
        <v>6</v>
      </c>
      <c r="J40" s="4" t="s">
        <v>230</v>
      </c>
      <c r="K40" s="4" t="s">
        <v>290</v>
      </c>
      <c r="L40" s="4"/>
      <c r="M40" s="10" t="str">
        <f aca="false">IF(AND($G40&lt;=M$5,$H40&gt;=M$4),"■","")</f>
        <v/>
      </c>
      <c r="N40" s="10" t="str">
        <f aca="false">IF(AND($G40&lt;=N$5,$H40&gt;=N$4),"■","")</f>
        <v/>
      </c>
      <c r="O40" s="10" t="str">
        <f aca="false">IF(AND($G40&lt;=O$5,$H40&gt;=O$4),"■","")</f>
        <v>■</v>
      </c>
      <c r="P40" s="10" t="str">
        <f aca="false">IF(AND($G40&lt;=P$5,$H40&gt;=P$4),"■","")</f>
        <v/>
      </c>
      <c r="Q40" s="10" t="str">
        <f aca="false">IF(AND($G40&lt;=Q$5,$H40&gt;=Q$4),"■","")</f>
        <v/>
      </c>
      <c r="R40" s="10" t="str">
        <f aca="false">IF(AND($G40&lt;=R$5,$H40&gt;=R$4),"■","")</f>
        <v/>
      </c>
      <c r="S40" s="10" t="str">
        <f aca="false">IF(AND($G40&lt;=S$5,$H40&gt;=S$4),"■","")</f>
        <v/>
      </c>
      <c r="T40" s="10" t="str">
        <f aca="false">IF(AND($G40&lt;=T$5,$H40&gt;=T$4),"■","")</f>
        <v/>
      </c>
      <c r="U40" s="10" t="str">
        <f aca="false">IF(AND($G40&lt;=U$5,$H40&gt;=U$4),"■","")</f>
        <v/>
      </c>
      <c r="V40" s="10" t="str">
        <f aca="false">IF(AND($G40&lt;=V$5,$H40&gt;=V$4),"■","")</f>
        <v/>
      </c>
      <c r="W40" s="10" t="str">
        <f aca="false">IF(AND($G40&lt;=W$5,$H40&gt;=W$4),"■","")</f>
        <v/>
      </c>
      <c r="X40" s="10" t="str">
        <f aca="false">IF(AND($G40&lt;=X$5,$H40&gt;=X$4),"■","")</f>
        <v/>
      </c>
      <c r="Y40" s="10" t="str">
        <f aca="false">IF(AND($G40&lt;=Y$5,$H40&gt;=Y$4),"■","")</f>
        <v/>
      </c>
      <c r="Z40" s="10" t="str">
        <f aca="false">IF(AND($G40&lt;=Z$5,$H40&gt;=Z$4),"■","")</f>
        <v/>
      </c>
      <c r="AA40" s="10" t="str">
        <f aca="false">IF(AND($G40&lt;=AA$5,$H40&gt;=AA$4),"■","")</f>
        <v/>
      </c>
    </row>
    <row r="41" customFormat="false" ht="23.85" hidden="false" customHeight="false" outlineLevel="0" collapsed="false">
      <c r="A41" s="4" t="s">
        <v>291</v>
      </c>
      <c r="B41" s="4" t="s">
        <v>287</v>
      </c>
      <c r="C41" s="4" t="s">
        <v>292</v>
      </c>
      <c r="D41" s="4" t="s">
        <v>293</v>
      </c>
      <c r="E41" s="4" t="s">
        <v>26</v>
      </c>
      <c r="F41" s="11" t="s">
        <v>141</v>
      </c>
      <c r="G41" s="9" t="n">
        <v>7</v>
      </c>
      <c r="H41" s="9" t="n">
        <v>14</v>
      </c>
      <c r="I41" s="12" t="n">
        <f aca="false">H41-G41+1</f>
        <v>8</v>
      </c>
      <c r="J41" s="4" t="s">
        <v>241</v>
      </c>
      <c r="K41" s="4" t="s">
        <v>290</v>
      </c>
      <c r="L41" s="4"/>
      <c r="M41" s="10" t="str">
        <f aca="false">IF(AND($G41&lt;=M$5,$H41&gt;=M$4),"■","")</f>
        <v/>
      </c>
      <c r="N41" s="10" t="str">
        <f aca="false">IF(AND($G41&lt;=N$5,$H41&gt;=N$4),"■","")</f>
        <v/>
      </c>
      <c r="O41" s="10" t="str">
        <f aca="false">IF(AND($G41&lt;=O$5,$H41&gt;=O$4),"■","")</f>
        <v>■</v>
      </c>
      <c r="P41" s="10" t="str">
        <f aca="false">IF(AND($G41&lt;=P$5,$H41&gt;=P$4),"■","")</f>
        <v>■</v>
      </c>
      <c r="Q41" s="10" t="str">
        <f aca="false">IF(AND($G41&lt;=Q$5,$H41&gt;=Q$4),"■","")</f>
        <v/>
      </c>
      <c r="R41" s="10" t="str">
        <f aca="false">IF(AND($G41&lt;=R$5,$H41&gt;=R$4),"■","")</f>
        <v/>
      </c>
      <c r="S41" s="10" t="str">
        <f aca="false">IF(AND($G41&lt;=S$5,$H41&gt;=S$4),"■","")</f>
        <v/>
      </c>
      <c r="T41" s="10" t="str">
        <f aca="false">IF(AND($G41&lt;=T$5,$H41&gt;=T$4),"■","")</f>
        <v/>
      </c>
      <c r="U41" s="10" t="str">
        <f aca="false">IF(AND($G41&lt;=U$5,$H41&gt;=U$4),"■","")</f>
        <v/>
      </c>
      <c r="V41" s="10" t="str">
        <f aca="false">IF(AND($G41&lt;=V$5,$H41&gt;=V$4),"■","")</f>
        <v/>
      </c>
      <c r="W41" s="10" t="str">
        <f aca="false">IF(AND($G41&lt;=W$5,$H41&gt;=W$4),"■","")</f>
        <v/>
      </c>
      <c r="X41" s="10" t="str">
        <f aca="false">IF(AND($G41&lt;=X$5,$H41&gt;=X$4),"■","")</f>
        <v/>
      </c>
      <c r="Y41" s="10" t="str">
        <f aca="false">IF(AND($G41&lt;=Y$5,$H41&gt;=Y$4),"■","")</f>
        <v/>
      </c>
      <c r="Z41" s="10" t="str">
        <f aca="false">IF(AND($G41&lt;=Z$5,$H41&gt;=Z$4),"■","")</f>
        <v/>
      </c>
      <c r="AA41" s="10" t="str">
        <f aca="false">IF(AND($G41&lt;=AA$5,$H41&gt;=AA$4),"■","")</f>
        <v/>
      </c>
    </row>
    <row r="42" customFormat="false" ht="23.85" hidden="false" customHeight="false" outlineLevel="0" collapsed="false">
      <c r="A42" s="4" t="s">
        <v>294</v>
      </c>
      <c r="B42" s="4" t="s">
        <v>287</v>
      </c>
      <c r="C42" s="4" t="s">
        <v>295</v>
      </c>
      <c r="D42" s="4" t="s">
        <v>296</v>
      </c>
      <c r="E42" s="4" t="s">
        <v>26</v>
      </c>
      <c r="F42" s="11" t="s">
        <v>141</v>
      </c>
      <c r="G42" s="9" t="n">
        <v>7</v>
      </c>
      <c r="H42" s="9" t="n">
        <v>18</v>
      </c>
      <c r="I42" s="12" t="n">
        <f aca="false">H42-G42+1</f>
        <v>12</v>
      </c>
      <c r="J42" s="4" t="s">
        <v>241</v>
      </c>
      <c r="K42" s="4" t="s">
        <v>290</v>
      </c>
      <c r="L42" s="4"/>
      <c r="M42" s="10" t="str">
        <f aca="false">IF(AND($G42&lt;=M$5,$H42&gt;=M$4),"■","")</f>
        <v/>
      </c>
      <c r="N42" s="10" t="str">
        <f aca="false">IF(AND($G42&lt;=N$5,$H42&gt;=N$4),"■","")</f>
        <v/>
      </c>
      <c r="O42" s="10" t="str">
        <f aca="false">IF(AND($G42&lt;=O$5,$H42&gt;=O$4),"■","")</f>
        <v>■</v>
      </c>
      <c r="P42" s="10" t="str">
        <f aca="false">IF(AND($G42&lt;=P$5,$H42&gt;=P$4),"■","")</f>
        <v>■</v>
      </c>
      <c r="Q42" s="10" t="str">
        <f aca="false">IF(AND($G42&lt;=Q$5,$H42&gt;=Q$4),"■","")</f>
        <v/>
      </c>
      <c r="R42" s="10" t="str">
        <f aca="false">IF(AND($G42&lt;=R$5,$H42&gt;=R$4),"■","")</f>
        <v/>
      </c>
      <c r="S42" s="10" t="str">
        <f aca="false">IF(AND($G42&lt;=S$5,$H42&gt;=S$4),"■","")</f>
        <v/>
      </c>
      <c r="T42" s="10" t="str">
        <f aca="false">IF(AND($G42&lt;=T$5,$H42&gt;=T$4),"■","")</f>
        <v/>
      </c>
      <c r="U42" s="10" t="str">
        <f aca="false">IF(AND($G42&lt;=U$5,$H42&gt;=U$4),"■","")</f>
        <v/>
      </c>
      <c r="V42" s="10" t="str">
        <f aca="false">IF(AND($G42&lt;=V$5,$H42&gt;=V$4),"■","")</f>
        <v/>
      </c>
      <c r="W42" s="10" t="str">
        <f aca="false">IF(AND($G42&lt;=W$5,$H42&gt;=W$4),"■","")</f>
        <v/>
      </c>
      <c r="X42" s="10" t="str">
        <f aca="false">IF(AND($G42&lt;=X$5,$H42&gt;=X$4),"■","")</f>
        <v/>
      </c>
      <c r="Y42" s="10" t="str">
        <f aca="false">IF(AND($G42&lt;=Y$5,$H42&gt;=Y$4),"■","")</f>
        <v/>
      </c>
      <c r="Z42" s="10" t="str">
        <f aca="false">IF(AND($G42&lt;=Z$5,$H42&gt;=Z$4),"■","")</f>
        <v/>
      </c>
      <c r="AA42" s="10" t="str">
        <f aca="false">IF(AND($G42&lt;=AA$5,$H42&gt;=AA$4),"■","")</f>
        <v/>
      </c>
    </row>
    <row r="43" customFormat="false" ht="23.85" hidden="false" customHeight="false" outlineLevel="0" collapsed="false">
      <c r="A43" s="4" t="s">
        <v>297</v>
      </c>
      <c r="B43" s="4" t="s">
        <v>287</v>
      </c>
      <c r="C43" s="4" t="s">
        <v>298</v>
      </c>
      <c r="D43" s="4" t="s">
        <v>299</v>
      </c>
      <c r="E43" s="4" t="s">
        <v>26</v>
      </c>
      <c r="F43" s="11" t="s">
        <v>141</v>
      </c>
      <c r="G43" s="9" t="n">
        <v>10</v>
      </c>
      <c r="H43" s="9" t="n">
        <v>18</v>
      </c>
      <c r="I43" s="12" t="n">
        <f aca="false">H43-G43+1</f>
        <v>9</v>
      </c>
      <c r="J43" s="4" t="s">
        <v>245</v>
      </c>
      <c r="K43" s="4" t="s">
        <v>290</v>
      </c>
      <c r="L43" s="4"/>
      <c r="M43" s="10" t="str">
        <f aca="false">IF(AND($G43&lt;=M$5,$H43&gt;=M$4),"■","")</f>
        <v/>
      </c>
      <c r="N43" s="10" t="str">
        <f aca="false">IF(AND($G43&lt;=N$5,$H43&gt;=N$4),"■","")</f>
        <v/>
      </c>
      <c r="O43" s="10" t="str">
        <f aca="false">IF(AND($G43&lt;=O$5,$H43&gt;=O$4),"■","")</f>
        <v>■</v>
      </c>
      <c r="P43" s="10" t="str">
        <f aca="false">IF(AND($G43&lt;=P$5,$H43&gt;=P$4),"■","")</f>
        <v>■</v>
      </c>
      <c r="Q43" s="10" t="str">
        <f aca="false">IF(AND($G43&lt;=Q$5,$H43&gt;=Q$4),"■","")</f>
        <v/>
      </c>
      <c r="R43" s="10" t="str">
        <f aca="false">IF(AND($G43&lt;=R$5,$H43&gt;=R$4),"■","")</f>
        <v/>
      </c>
      <c r="S43" s="10" t="str">
        <f aca="false">IF(AND($G43&lt;=S$5,$H43&gt;=S$4),"■","")</f>
        <v/>
      </c>
      <c r="T43" s="10" t="str">
        <f aca="false">IF(AND($G43&lt;=T$5,$H43&gt;=T$4),"■","")</f>
        <v/>
      </c>
      <c r="U43" s="10" t="str">
        <f aca="false">IF(AND($G43&lt;=U$5,$H43&gt;=U$4),"■","")</f>
        <v/>
      </c>
      <c r="V43" s="10" t="str">
        <f aca="false">IF(AND($G43&lt;=V$5,$H43&gt;=V$4),"■","")</f>
        <v/>
      </c>
      <c r="W43" s="10" t="str">
        <f aca="false">IF(AND($G43&lt;=W$5,$H43&gt;=W$4),"■","")</f>
        <v/>
      </c>
      <c r="X43" s="10" t="str">
        <f aca="false">IF(AND($G43&lt;=X$5,$H43&gt;=X$4),"■","")</f>
        <v/>
      </c>
      <c r="Y43" s="10" t="str">
        <f aca="false">IF(AND($G43&lt;=Y$5,$H43&gt;=Y$4),"■","")</f>
        <v/>
      </c>
      <c r="Z43" s="10" t="str">
        <f aca="false">IF(AND($G43&lt;=Z$5,$H43&gt;=Z$4),"■","")</f>
        <v/>
      </c>
      <c r="AA43" s="10" t="str">
        <f aca="false">IF(AND($G43&lt;=AA$5,$H43&gt;=AA$4),"■","")</f>
        <v/>
      </c>
    </row>
    <row r="44" customFormat="false" ht="23.85" hidden="false" customHeight="false" outlineLevel="0" collapsed="false">
      <c r="A44" s="4" t="s">
        <v>300</v>
      </c>
      <c r="B44" s="4" t="s">
        <v>287</v>
      </c>
      <c r="C44" s="4" t="s">
        <v>301</v>
      </c>
      <c r="D44" s="4" t="s">
        <v>302</v>
      </c>
      <c r="E44" s="4" t="s">
        <v>26</v>
      </c>
      <c r="F44" s="11" t="s">
        <v>141</v>
      </c>
      <c r="G44" s="9" t="n">
        <v>10</v>
      </c>
      <c r="H44" s="9" t="n">
        <v>21</v>
      </c>
      <c r="I44" s="12" t="n">
        <f aca="false">H44-G44+1</f>
        <v>12</v>
      </c>
      <c r="J44" s="4" t="s">
        <v>252</v>
      </c>
      <c r="K44" s="4" t="s">
        <v>290</v>
      </c>
      <c r="L44" s="4"/>
      <c r="M44" s="10" t="str">
        <f aca="false">IF(AND($G44&lt;=M$5,$H44&gt;=M$4),"■","")</f>
        <v/>
      </c>
      <c r="N44" s="10" t="str">
        <f aca="false">IF(AND($G44&lt;=N$5,$H44&gt;=N$4),"■","")</f>
        <v/>
      </c>
      <c r="O44" s="10" t="str">
        <f aca="false">IF(AND($G44&lt;=O$5,$H44&gt;=O$4),"■","")</f>
        <v>■</v>
      </c>
      <c r="P44" s="10" t="str">
        <f aca="false">IF(AND($G44&lt;=P$5,$H44&gt;=P$4),"■","")</f>
        <v>■</v>
      </c>
      <c r="Q44" s="10" t="str">
        <f aca="false">IF(AND($G44&lt;=Q$5,$H44&gt;=Q$4),"■","")</f>
        <v>■</v>
      </c>
      <c r="R44" s="10" t="str">
        <f aca="false">IF(AND($G44&lt;=R$5,$H44&gt;=R$4),"■","")</f>
        <v/>
      </c>
      <c r="S44" s="10" t="str">
        <f aca="false">IF(AND($G44&lt;=S$5,$H44&gt;=S$4),"■","")</f>
        <v/>
      </c>
      <c r="T44" s="10" t="str">
        <f aca="false">IF(AND($G44&lt;=T$5,$H44&gt;=T$4),"■","")</f>
        <v/>
      </c>
      <c r="U44" s="10" t="str">
        <f aca="false">IF(AND($G44&lt;=U$5,$H44&gt;=U$4),"■","")</f>
        <v/>
      </c>
      <c r="V44" s="10" t="str">
        <f aca="false">IF(AND($G44&lt;=V$5,$H44&gt;=V$4),"■","")</f>
        <v/>
      </c>
      <c r="W44" s="10" t="str">
        <f aca="false">IF(AND($G44&lt;=W$5,$H44&gt;=W$4),"■","")</f>
        <v/>
      </c>
      <c r="X44" s="10" t="str">
        <f aca="false">IF(AND($G44&lt;=X$5,$H44&gt;=X$4),"■","")</f>
        <v/>
      </c>
      <c r="Y44" s="10" t="str">
        <f aca="false">IF(AND($G44&lt;=Y$5,$H44&gt;=Y$4),"■","")</f>
        <v/>
      </c>
      <c r="Z44" s="10" t="str">
        <f aca="false">IF(AND($G44&lt;=Z$5,$H44&gt;=Z$4),"■","")</f>
        <v/>
      </c>
      <c r="AA44" s="10" t="str">
        <f aca="false">IF(AND($G44&lt;=AA$5,$H44&gt;=AA$4),"■","")</f>
        <v/>
      </c>
    </row>
    <row r="45" customFormat="false" ht="23.85" hidden="false" customHeight="false" outlineLevel="0" collapsed="false">
      <c r="A45" s="4" t="s">
        <v>303</v>
      </c>
      <c r="B45" s="4" t="s">
        <v>287</v>
      </c>
      <c r="C45" s="4" t="s">
        <v>304</v>
      </c>
      <c r="D45" s="4" t="s">
        <v>305</v>
      </c>
      <c r="E45" s="4" t="s">
        <v>26</v>
      </c>
      <c r="F45" s="11" t="s">
        <v>141</v>
      </c>
      <c r="G45" s="9" t="n">
        <v>14</v>
      </c>
      <c r="H45" s="9" t="n">
        <v>25</v>
      </c>
      <c r="I45" s="12" t="n">
        <f aca="false">H45-G45+1</f>
        <v>12</v>
      </c>
      <c r="J45" s="4" t="s">
        <v>300</v>
      </c>
      <c r="K45" s="4" t="s">
        <v>290</v>
      </c>
      <c r="L45" s="4"/>
      <c r="M45" s="10" t="str">
        <f aca="false">IF(AND($G45&lt;=M$5,$H45&gt;=M$4),"■","")</f>
        <v/>
      </c>
      <c r="N45" s="10" t="str">
        <f aca="false">IF(AND($G45&lt;=N$5,$H45&gt;=N$4),"■","")</f>
        <v/>
      </c>
      <c r="O45" s="10" t="str">
        <f aca="false">IF(AND($G45&lt;=O$5,$H45&gt;=O$4),"■","")</f>
        <v/>
      </c>
      <c r="P45" s="10" t="str">
        <f aca="false">IF(AND($G45&lt;=P$5,$H45&gt;=P$4),"■","")</f>
        <v>■</v>
      </c>
      <c r="Q45" s="10" t="str">
        <f aca="false">IF(AND($G45&lt;=Q$5,$H45&gt;=Q$4),"■","")</f>
        <v>■</v>
      </c>
      <c r="R45" s="10" t="str">
        <f aca="false">IF(AND($G45&lt;=R$5,$H45&gt;=R$4),"■","")</f>
        <v/>
      </c>
      <c r="S45" s="10" t="str">
        <f aca="false">IF(AND($G45&lt;=S$5,$H45&gt;=S$4),"■","")</f>
        <v/>
      </c>
      <c r="T45" s="10" t="str">
        <f aca="false">IF(AND($G45&lt;=T$5,$H45&gt;=T$4),"■","")</f>
        <v/>
      </c>
      <c r="U45" s="10" t="str">
        <f aca="false">IF(AND($G45&lt;=U$5,$H45&gt;=U$4),"■","")</f>
        <v/>
      </c>
      <c r="V45" s="10" t="str">
        <f aca="false">IF(AND($G45&lt;=V$5,$H45&gt;=V$4),"■","")</f>
        <v/>
      </c>
      <c r="W45" s="10" t="str">
        <f aca="false">IF(AND($G45&lt;=W$5,$H45&gt;=W$4),"■","")</f>
        <v/>
      </c>
      <c r="X45" s="10" t="str">
        <f aca="false">IF(AND($G45&lt;=X$5,$H45&gt;=X$4),"■","")</f>
        <v/>
      </c>
      <c r="Y45" s="10" t="str">
        <f aca="false">IF(AND($G45&lt;=Y$5,$H45&gt;=Y$4),"■","")</f>
        <v/>
      </c>
      <c r="Z45" s="10" t="str">
        <f aca="false">IF(AND($G45&lt;=Z$5,$H45&gt;=Z$4),"■","")</f>
        <v/>
      </c>
      <c r="AA45" s="10" t="str">
        <f aca="false">IF(AND($G45&lt;=AA$5,$H45&gt;=AA$4),"■","")</f>
        <v/>
      </c>
    </row>
    <row r="46" customFormat="false" ht="23.85" hidden="false" customHeight="false" outlineLevel="0" collapsed="false">
      <c r="A46" s="4" t="s">
        <v>306</v>
      </c>
      <c r="B46" s="4" t="s">
        <v>287</v>
      </c>
      <c r="C46" s="4" t="s">
        <v>307</v>
      </c>
      <c r="D46" s="4" t="s">
        <v>308</v>
      </c>
      <c r="E46" s="4" t="s">
        <v>26</v>
      </c>
      <c r="F46" s="11" t="s">
        <v>141</v>
      </c>
      <c r="G46" s="9" t="n">
        <v>14</v>
      </c>
      <c r="H46" s="9" t="n">
        <v>28</v>
      </c>
      <c r="I46" s="12" t="n">
        <f aca="false">H46-G46+1</f>
        <v>15</v>
      </c>
      <c r="J46" s="4" t="s">
        <v>241</v>
      </c>
      <c r="K46" s="4" t="s">
        <v>290</v>
      </c>
      <c r="L46" s="4"/>
      <c r="M46" s="10" t="str">
        <f aca="false">IF(AND($G46&lt;=M$5,$H46&gt;=M$4),"■","")</f>
        <v/>
      </c>
      <c r="N46" s="10" t="str">
        <f aca="false">IF(AND($G46&lt;=N$5,$H46&gt;=N$4),"■","")</f>
        <v/>
      </c>
      <c r="O46" s="10" t="str">
        <f aca="false">IF(AND($G46&lt;=O$5,$H46&gt;=O$4),"■","")</f>
        <v/>
      </c>
      <c r="P46" s="10" t="str">
        <f aca="false">IF(AND($G46&lt;=P$5,$H46&gt;=P$4),"■","")</f>
        <v>■</v>
      </c>
      <c r="Q46" s="10" t="str">
        <f aca="false">IF(AND($G46&lt;=Q$5,$H46&gt;=Q$4),"■","")</f>
        <v>■</v>
      </c>
      <c r="R46" s="10" t="str">
        <f aca="false">IF(AND($G46&lt;=R$5,$H46&gt;=R$4),"■","")</f>
        <v>■</v>
      </c>
      <c r="S46" s="10" t="str">
        <f aca="false">IF(AND($G46&lt;=S$5,$H46&gt;=S$4),"■","")</f>
        <v/>
      </c>
      <c r="T46" s="10" t="str">
        <f aca="false">IF(AND($G46&lt;=T$5,$H46&gt;=T$4),"■","")</f>
        <v/>
      </c>
      <c r="U46" s="10" t="str">
        <f aca="false">IF(AND($G46&lt;=U$5,$H46&gt;=U$4),"■","")</f>
        <v/>
      </c>
      <c r="V46" s="10" t="str">
        <f aca="false">IF(AND($G46&lt;=V$5,$H46&gt;=V$4),"■","")</f>
        <v/>
      </c>
      <c r="W46" s="10" t="str">
        <f aca="false">IF(AND($G46&lt;=W$5,$H46&gt;=W$4),"■","")</f>
        <v/>
      </c>
      <c r="X46" s="10" t="str">
        <f aca="false">IF(AND($G46&lt;=X$5,$H46&gt;=X$4),"■","")</f>
        <v/>
      </c>
      <c r="Y46" s="10" t="str">
        <f aca="false">IF(AND($G46&lt;=Y$5,$H46&gt;=Y$4),"■","")</f>
        <v/>
      </c>
      <c r="Z46" s="10" t="str">
        <f aca="false">IF(AND($G46&lt;=Z$5,$H46&gt;=Z$4),"■","")</f>
        <v/>
      </c>
      <c r="AA46" s="10" t="str">
        <f aca="false">IF(AND($G46&lt;=AA$5,$H46&gt;=AA$4),"■","")</f>
        <v/>
      </c>
    </row>
    <row r="47" customFormat="false" ht="23.85" hidden="false" customHeight="false" outlineLevel="0" collapsed="false">
      <c r="A47" s="4" t="s">
        <v>309</v>
      </c>
      <c r="B47" s="4" t="s">
        <v>287</v>
      </c>
      <c r="C47" s="4" t="s">
        <v>310</v>
      </c>
      <c r="D47" s="4" t="s">
        <v>311</v>
      </c>
      <c r="E47" s="4" t="s">
        <v>26</v>
      </c>
      <c r="F47" s="11" t="s">
        <v>155</v>
      </c>
      <c r="G47" s="9" t="n">
        <v>18</v>
      </c>
      <c r="H47" s="9" t="n">
        <v>28</v>
      </c>
      <c r="I47" s="12" t="n">
        <f aca="false">H47-G47+1</f>
        <v>11</v>
      </c>
      <c r="J47" s="4" t="s">
        <v>257</v>
      </c>
      <c r="K47" s="4" t="s">
        <v>312</v>
      </c>
      <c r="L47" s="4"/>
      <c r="M47" s="10" t="str">
        <f aca="false">IF(AND($G47&lt;=M$5,$H47&gt;=M$4),"■","")</f>
        <v/>
      </c>
      <c r="N47" s="10" t="str">
        <f aca="false">IF(AND($G47&lt;=N$5,$H47&gt;=N$4),"■","")</f>
        <v/>
      </c>
      <c r="O47" s="10" t="str">
        <f aca="false">IF(AND($G47&lt;=O$5,$H47&gt;=O$4),"■","")</f>
        <v/>
      </c>
      <c r="P47" s="10" t="str">
        <f aca="false">IF(AND($G47&lt;=P$5,$H47&gt;=P$4),"■","")</f>
        <v>■</v>
      </c>
      <c r="Q47" s="10" t="str">
        <f aca="false">IF(AND($G47&lt;=Q$5,$H47&gt;=Q$4),"■","")</f>
        <v>■</v>
      </c>
      <c r="R47" s="10" t="str">
        <f aca="false">IF(AND($G47&lt;=R$5,$H47&gt;=R$4),"■","")</f>
        <v>■</v>
      </c>
      <c r="S47" s="10" t="str">
        <f aca="false">IF(AND($G47&lt;=S$5,$H47&gt;=S$4),"■","")</f>
        <v/>
      </c>
      <c r="T47" s="10" t="str">
        <f aca="false">IF(AND($G47&lt;=T$5,$H47&gt;=T$4),"■","")</f>
        <v/>
      </c>
      <c r="U47" s="10" t="str">
        <f aca="false">IF(AND($G47&lt;=U$5,$H47&gt;=U$4),"■","")</f>
        <v/>
      </c>
      <c r="V47" s="10" t="str">
        <f aca="false">IF(AND($G47&lt;=V$5,$H47&gt;=V$4),"■","")</f>
        <v/>
      </c>
      <c r="W47" s="10" t="str">
        <f aca="false">IF(AND($G47&lt;=W$5,$H47&gt;=W$4),"■","")</f>
        <v/>
      </c>
      <c r="X47" s="10" t="str">
        <f aca="false">IF(AND($G47&lt;=X$5,$H47&gt;=X$4),"■","")</f>
        <v/>
      </c>
      <c r="Y47" s="10" t="str">
        <f aca="false">IF(AND($G47&lt;=Y$5,$H47&gt;=Y$4),"■","")</f>
        <v/>
      </c>
      <c r="Z47" s="10" t="str">
        <f aca="false">IF(AND($G47&lt;=Z$5,$H47&gt;=Z$4),"■","")</f>
        <v/>
      </c>
      <c r="AA47" s="10" t="str">
        <f aca="false">IF(AND($G47&lt;=AA$5,$H47&gt;=AA$4),"■","")</f>
        <v/>
      </c>
    </row>
    <row r="48" customFormat="false" ht="23.85" hidden="false" customHeight="false" outlineLevel="0" collapsed="false">
      <c r="A48" s="4" t="s">
        <v>313</v>
      </c>
      <c r="B48" s="4" t="s">
        <v>287</v>
      </c>
      <c r="C48" s="4" t="s">
        <v>314</v>
      </c>
      <c r="D48" s="4" t="s">
        <v>315</v>
      </c>
      <c r="E48" s="4" t="s">
        <v>26</v>
      </c>
      <c r="F48" s="11" t="s">
        <v>141</v>
      </c>
      <c r="G48" s="9" t="n">
        <v>25</v>
      </c>
      <c r="H48" s="9" t="n">
        <v>30</v>
      </c>
      <c r="I48" s="12" t="n">
        <f aca="false">H48-G48+1</f>
        <v>6</v>
      </c>
      <c r="J48" s="4" t="s">
        <v>316</v>
      </c>
      <c r="K48" s="4" t="s">
        <v>317</v>
      </c>
      <c r="L48" s="4"/>
      <c r="M48" s="10" t="str">
        <f aca="false">IF(AND($G48&lt;=M$5,$H48&gt;=M$4),"■","")</f>
        <v/>
      </c>
      <c r="N48" s="10" t="str">
        <f aca="false">IF(AND($G48&lt;=N$5,$H48&gt;=N$4),"■","")</f>
        <v/>
      </c>
      <c r="O48" s="10" t="str">
        <f aca="false">IF(AND($G48&lt;=O$5,$H48&gt;=O$4),"■","")</f>
        <v/>
      </c>
      <c r="P48" s="10" t="str">
        <f aca="false">IF(AND($G48&lt;=P$5,$H48&gt;=P$4),"■","")</f>
        <v/>
      </c>
      <c r="Q48" s="10" t="str">
        <f aca="false">IF(AND($G48&lt;=Q$5,$H48&gt;=Q$4),"■","")</f>
        <v>■</v>
      </c>
      <c r="R48" s="10" t="str">
        <f aca="false">IF(AND($G48&lt;=R$5,$H48&gt;=R$4),"■","")</f>
        <v>■</v>
      </c>
      <c r="S48" s="10" t="str">
        <f aca="false">IF(AND($G48&lt;=S$5,$H48&gt;=S$4),"■","")</f>
        <v/>
      </c>
      <c r="T48" s="10" t="str">
        <f aca="false">IF(AND($G48&lt;=T$5,$H48&gt;=T$4),"■","")</f>
        <v/>
      </c>
      <c r="U48" s="10" t="str">
        <f aca="false">IF(AND($G48&lt;=U$5,$H48&gt;=U$4),"■","")</f>
        <v/>
      </c>
      <c r="V48" s="10" t="str">
        <f aca="false">IF(AND($G48&lt;=V$5,$H48&gt;=V$4),"■","")</f>
        <v/>
      </c>
      <c r="W48" s="10" t="str">
        <f aca="false">IF(AND($G48&lt;=W$5,$H48&gt;=W$4),"■","")</f>
        <v/>
      </c>
      <c r="X48" s="10" t="str">
        <f aca="false">IF(AND($G48&lt;=X$5,$H48&gt;=X$4),"■","")</f>
        <v/>
      </c>
      <c r="Y48" s="10" t="str">
        <f aca="false">IF(AND($G48&lt;=Y$5,$H48&gt;=Y$4),"■","")</f>
        <v/>
      </c>
      <c r="Z48" s="10" t="str">
        <f aca="false">IF(AND($G48&lt;=Z$5,$H48&gt;=Z$4),"■","")</f>
        <v/>
      </c>
      <c r="AA48" s="10" t="str">
        <f aca="false">IF(AND($G48&lt;=AA$5,$H48&gt;=AA$4),"■","")</f>
        <v/>
      </c>
    </row>
    <row r="49" customFormat="false" ht="23.85" hidden="false" customHeight="false" outlineLevel="0" collapsed="false">
      <c r="A49" s="4" t="s">
        <v>318</v>
      </c>
      <c r="B49" s="4" t="s">
        <v>287</v>
      </c>
      <c r="C49" s="4" t="s">
        <v>319</v>
      </c>
      <c r="D49" s="4" t="s">
        <v>320</v>
      </c>
      <c r="E49" s="4" t="s">
        <v>26</v>
      </c>
      <c r="F49" s="11" t="s">
        <v>155</v>
      </c>
      <c r="G49" s="9" t="n">
        <v>28</v>
      </c>
      <c r="H49" s="9" t="n">
        <v>30</v>
      </c>
      <c r="I49" s="12" t="n">
        <f aca="false">H49-G49+1</f>
        <v>3</v>
      </c>
      <c r="J49" s="4" t="s">
        <v>313</v>
      </c>
      <c r="K49" s="4" t="s">
        <v>202</v>
      </c>
      <c r="L49" s="4"/>
      <c r="M49" s="10" t="str">
        <f aca="false">IF(AND($G49&lt;=M$5,$H49&gt;=M$4),"■","")</f>
        <v/>
      </c>
      <c r="N49" s="10" t="str">
        <f aca="false">IF(AND($G49&lt;=N$5,$H49&gt;=N$4),"■","")</f>
        <v/>
      </c>
      <c r="O49" s="10" t="str">
        <f aca="false">IF(AND($G49&lt;=O$5,$H49&gt;=O$4),"■","")</f>
        <v/>
      </c>
      <c r="P49" s="10" t="str">
        <f aca="false">IF(AND($G49&lt;=P$5,$H49&gt;=P$4),"■","")</f>
        <v/>
      </c>
      <c r="Q49" s="10" t="str">
        <f aca="false">IF(AND($G49&lt;=Q$5,$H49&gt;=Q$4),"■","")</f>
        <v/>
      </c>
      <c r="R49" s="10" t="str">
        <f aca="false">IF(AND($G49&lt;=R$5,$H49&gt;=R$4),"■","")</f>
        <v>■</v>
      </c>
      <c r="S49" s="10" t="str">
        <f aca="false">IF(AND($G49&lt;=S$5,$H49&gt;=S$4),"■","")</f>
        <v/>
      </c>
      <c r="T49" s="10" t="str">
        <f aca="false">IF(AND($G49&lt;=T$5,$H49&gt;=T$4),"■","")</f>
        <v/>
      </c>
      <c r="U49" s="10" t="str">
        <f aca="false">IF(AND($G49&lt;=U$5,$H49&gt;=U$4),"■","")</f>
        <v/>
      </c>
      <c r="V49" s="10" t="str">
        <f aca="false">IF(AND($G49&lt;=V$5,$H49&gt;=V$4),"■","")</f>
        <v/>
      </c>
      <c r="W49" s="10" t="str">
        <f aca="false">IF(AND($G49&lt;=W$5,$H49&gt;=W$4),"■","")</f>
        <v/>
      </c>
      <c r="X49" s="10" t="str">
        <f aca="false">IF(AND($G49&lt;=X$5,$H49&gt;=X$4),"■","")</f>
        <v/>
      </c>
      <c r="Y49" s="10" t="str">
        <f aca="false">IF(AND($G49&lt;=Y$5,$H49&gt;=Y$4),"■","")</f>
        <v/>
      </c>
      <c r="Z49" s="10" t="str">
        <f aca="false">IF(AND($G49&lt;=Z$5,$H49&gt;=Z$4),"■","")</f>
        <v/>
      </c>
      <c r="AA49" s="10" t="str">
        <f aca="false">IF(AND($G49&lt;=AA$5,$H49&gt;=AA$4),"■","")</f>
        <v/>
      </c>
    </row>
    <row r="50" customFormat="false" ht="23.85" hidden="false" customHeight="false" outlineLevel="0" collapsed="false">
      <c r="A50" s="4" t="s">
        <v>321</v>
      </c>
      <c r="B50" s="4" t="s">
        <v>322</v>
      </c>
      <c r="C50" s="4" t="s">
        <v>323</v>
      </c>
      <c r="D50" s="4" t="s">
        <v>324</v>
      </c>
      <c r="E50" s="4" t="s">
        <v>26</v>
      </c>
      <c r="F50" s="11" t="s">
        <v>141</v>
      </c>
      <c r="G50" s="9" t="n">
        <v>21</v>
      </c>
      <c r="H50" s="9" t="n">
        <v>40</v>
      </c>
      <c r="I50" s="12" t="n">
        <f aca="false">H50-G50+1</f>
        <v>20</v>
      </c>
      <c r="J50" s="4" t="s">
        <v>313</v>
      </c>
      <c r="K50" s="4" t="s">
        <v>325</v>
      </c>
      <c r="L50" s="4"/>
      <c r="M50" s="10" t="str">
        <f aca="false">IF(AND($G50&lt;=M$5,$H50&gt;=M$4),"■","")</f>
        <v/>
      </c>
      <c r="N50" s="10" t="str">
        <f aca="false">IF(AND($G50&lt;=N$5,$H50&gt;=N$4),"■","")</f>
        <v/>
      </c>
      <c r="O50" s="10" t="str">
        <f aca="false">IF(AND($G50&lt;=O$5,$H50&gt;=O$4),"■","")</f>
        <v/>
      </c>
      <c r="P50" s="10" t="str">
        <f aca="false">IF(AND($G50&lt;=P$5,$H50&gt;=P$4),"■","")</f>
        <v/>
      </c>
      <c r="Q50" s="10" t="str">
        <f aca="false">IF(AND($G50&lt;=Q$5,$H50&gt;=Q$4),"■","")</f>
        <v>■</v>
      </c>
      <c r="R50" s="10" t="str">
        <f aca="false">IF(AND($G50&lt;=R$5,$H50&gt;=R$4),"■","")</f>
        <v>■</v>
      </c>
      <c r="S50" s="10" t="str">
        <f aca="false">IF(AND($G50&lt;=S$5,$H50&gt;=S$4),"■","")</f>
        <v>■</v>
      </c>
      <c r="T50" s="10" t="str">
        <f aca="false">IF(AND($G50&lt;=T$5,$H50&gt;=T$4),"■","")</f>
        <v/>
      </c>
      <c r="U50" s="10" t="str">
        <f aca="false">IF(AND($G50&lt;=U$5,$H50&gt;=U$4),"■","")</f>
        <v/>
      </c>
      <c r="V50" s="10" t="str">
        <f aca="false">IF(AND($G50&lt;=V$5,$H50&gt;=V$4),"■","")</f>
        <v/>
      </c>
      <c r="W50" s="10" t="str">
        <f aca="false">IF(AND($G50&lt;=W$5,$H50&gt;=W$4),"■","")</f>
        <v/>
      </c>
      <c r="X50" s="10" t="str">
        <f aca="false">IF(AND($G50&lt;=X$5,$H50&gt;=X$4),"■","")</f>
        <v/>
      </c>
      <c r="Y50" s="10" t="str">
        <f aca="false">IF(AND($G50&lt;=Y$5,$H50&gt;=Y$4),"■","")</f>
        <v/>
      </c>
      <c r="Z50" s="10" t="str">
        <f aca="false">IF(AND($G50&lt;=Z$5,$H50&gt;=Z$4),"■","")</f>
        <v/>
      </c>
      <c r="AA50" s="10" t="str">
        <f aca="false">IF(AND($G50&lt;=AA$5,$H50&gt;=AA$4),"■","")</f>
        <v/>
      </c>
    </row>
    <row r="51" customFormat="false" ht="15" hidden="false" customHeight="false" outlineLevel="0" collapsed="false">
      <c r="A51" s="4" t="s">
        <v>326</v>
      </c>
      <c r="B51" s="4" t="s">
        <v>322</v>
      </c>
      <c r="C51" s="4" t="s">
        <v>327</v>
      </c>
      <c r="D51" s="4" t="s">
        <v>328</v>
      </c>
      <c r="E51" s="4" t="s">
        <v>26</v>
      </c>
      <c r="F51" s="11" t="s">
        <v>141</v>
      </c>
      <c r="G51" s="9" t="n">
        <v>25</v>
      </c>
      <c r="H51" s="9" t="n">
        <v>40</v>
      </c>
      <c r="I51" s="12" t="n">
        <f aca="false">H51-G51+1</f>
        <v>16</v>
      </c>
      <c r="J51" s="4" t="s">
        <v>303</v>
      </c>
      <c r="K51" s="4" t="s">
        <v>329</v>
      </c>
      <c r="L51" s="4"/>
      <c r="M51" s="10" t="str">
        <f aca="false">IF(AND($G51&lt;=M$5,$H51&gt;=M$4),"■","")</f>
        <v/>
      </c>
      <c r="N51" s="10" t="str">
        <f aca="false">IF(AND($G51&lt;=N$5,$H51&gt;=N$4),"■","")</f>
        <v/>
      </c>
      <c r="O51" s="10" t="str">
        <f aca="false">IF(AND($G51&lt;=O$5,$H51&gt;=O$4),"■","")</f>
        <v/>
      </c>
      <c r="P51" s="10" t="str">
        <f aca="false">IF(AND($G51&lt;=P$5,$H51&gt;=P$4),"■","")</f>
        <v/>
      </c>
      <c r="Q51" s="10" t="str">
        <f aca="false">IF(AND($G51&lt;=Q$5,$H51&gt;=Q$4),"■","")</f>
        <v>■</v>
      </c>
      <c r="R51" s="10" t="str">
        <f aca="false">IF(AND($G51&lt;=R$5,$H51&gt;=R$4),"■","")</f>
        <v>■</v>
      </c>
      <c r="S51" s="10" t="str">
        <f aca="false">IF(AND($G51&lt;=S$5,$H51&gt;=S$4),"■","")</f>
        <v>■</v>
      </c>
      <c r="T51" s="10" t="str">
        <f aca="false">IF(AND($G51&lt;=T$5,$H51&gt;=T$4),"■","")</f>
        <v/>
      </c>
      <c r="U51" s="10" t="str">
        <f aca="false">IF(AND($G51&lt;=U$5,$H51&gt;=U$4),"■","")</f>
        <v/>
      </c>
      <c r="V51" s="10" t="str">
        <f aca="false">IF(AND($G51&lt;=V$5,$H51&gt;=V$4),"■","")</f>
        <v/>
      </c>
      <c r="W51" s="10" t="str">
        <f aca="false">IF(AND($G51&lt;=W$5,$H51&gt;=W$4),"■","")</f>
        <v/>
      </c>
      <c r="X51" s="10" t="str">
        <f aca="false">IF(AND($G51&lt;=X$5,$H51&gt;=X$4),"■","")</f>
        <v/>
      </c>
      <c r="Y51" s="10" t="str">
        <f aca="false">IF(AND($G51&lt;=Y$5,$H51&gt;=Y$4),"■","")</f>
        <v/>
      </c>
      <c r="Z51" s="10" t="str">
        <f aca="false">IF(AND($G51&lt;=Z$5,$H51&gt;=Z$4),"■","")</f>
        <v/>
      </c>
      <c r="AA51" s="10" t="str">
        <f aca="false">IF(AND($G51&lt;=AA$5,$H51&gt;=AA$4),"■","")</f>
        <v/>
      </c>
    </row>
    <row r="52" customFormat="false" ht="23.85" hidden="false" customHeight="false" outlineLevel="0" collapsed="false">
      <c r="A52" s="4" t="s">
        <v>330</v>
      </c>
      <c r="B52" s="4" t="s">
        <v>322</v>
      </c>
      <c r="C52" s="4" t="s">
        <v>331</v>
      </c>
      <c r="D52" s="4" t="s">
        <v>332</v>
      </c>
      <c r="E52" s="4" t="s">
        <v>26</v>
      </c>
      <c r="F52" s="11" t="s">
        <v>155</v>
      </c>
      <c r="G52" s="9" t="n">
        <v>30</v>
      </c>
      <c r="H52" s="9" t="n">
        <v>55</v>
      </c>
      <c r="I52" s="12" t="n">
        <f aca="false">H52-G52+1</f>
        <v>26</v>
      </c>
      <c r="J52" s="4" t="s">
        <v>333</v>
      </c>
      <c r="K52" s="4" t="s">
        <v>334</v>
      </c>
      <c r="L52" s="4"/>
      <c r="M52" s="10" t="str">
        <f aca="false">IF(AND($G52&lt;=M$5,$H52&gt;=M$4),"■","")</f>
        <v/>
      </c>
      <c r="N52" s="10" t="str">
        <f aca="false">IF(AND($G52&lt;=N$5,$H52&gt;=N$4),"■","")</f>
        <v/>
      </c>
      <c r="O52" s="10" t="str">
        <f aca="false">IF(AND($G52&lt;=O$5,$H52&gt;=O$4),"■","")</f>
        <v/>
      </c>
      <c r="P52" s="10" t="str">
        <f aca="false">IF(AND($G52&lt;=P$5,$H52&gt;=P$4),"■","")</f>
        <v/>
      </c>
      <c r="Q52" s="10" t="str">
        <f aca="false">IF(AND($G52&lt;=Q$5,$H52&gt;=Q$4),"■","")</f>
        <v/>
      </c>
      <c r="R52" s="10" t="str">
        <f aca="false">IF(AND($G52&lt;=R$5,$H52&gt;=R$4),"■","")</f>
        <v>■</v>
      </c>
      <c r="S52" s="10" t="str">
        <f aca="false">IF(AND($G52&lt;=S$5,$H52&gt;=S$4),"■","")</f>
        <v>■</v>
      </c>
      <c r="T52" s="10" t="str">
        <f aca="false">IF(AND($G52&lt;=T$5,$H52&gt;=T$4),"■","")</f>
        <v>■</v>
      </c>
      <c r="U52" s="10" t="str">
        <f aca="false">IF(AND($G52&lt;=U$5,$H52&gt;=U$4),"■","")</f>
        <v>■</v>
      </c>
      <c r="V52" s="10" t="str">
        <f aca="false">IF(AND($G52&lt;=V$5,$H52&gt;=V$4),"■","")</f>
        <v/>
      </c>
      <c r="W52" s="10" t="str">
        <f aca="false">IF(AND($G52&lt;=W$5,$H52&gt;=W$4),"■","")</f>
        <v/>
      </c>
      <c r="X52" s="10" t="str">
        <f aca="false">IF(AND($G52&lt;=X$5,$H52&gt;=X$4),"■","")</f>
        <v/>
      </c>
      <c r="Y52" s="10" t="str">
        <f aca="false">IF(AND($G52&lt;=Y$5,$H52&gt;=Y$4),"■","")</f>
        <v/>
      </c>
      <c r="Z52" s="10" t="str">
        <f aca="false">IF(AND($G52&lt;=Z$5,$H52&gt;=Z$4),"■","")</f>
        <v/>
      </c>
      <c r="AA52" s="10" t="str">
        <f aca="false">IF(AND($G52&lt;=AA$5,$H52&gt;=AA$4),"■","")</f>
        <v/>
      </c>
    </row>
    <row r="53" customFormat="false" ht="23.85" hidden="false" customHeight="false" outlineLevel="0" collapsed="false">
      <c r="A53" s="4" t="s">
        <v>335</v>
      </c>
      <c r="B53" s="4" t="s">
        <v>322</v>
      </c>
      <c r="C53" s="4" t="s">
        <v>336</v>
      </c>
      <c r="D53" s="4" t="s">
        <v>337</v>
      </c>
      <c r="E53" s="4" t="s">
        <v>26</v>
      </c>
      <c r="F53" s="11" t="s">
        <v>155</v>
      </c>
      <c r="G53" s="9" t="n">
        <v>35</v>
      </c>
      <c r="H53" s="9" t="n">
        <v>60</v>
      </c>
      <c r="I53" s="12" t="n">
        <f aca="false">H53-G53+1</f>
        <v>26</v>
      </c>
      <c r="J53" s="4" t="s">
        <v>300</v>
      </c>
      <c r="K53" s="4" t="s">
        <v>338</v>
      </c>
      <c r="L53" s="4"/>
      <c r="M53" s="10" t="str">
        <f aca="false">IF(AND($G53&lt;=M$5,$H53&gt;=M$4),"■","")</f>
        <v/>
      </c>
      <c r="N53" s="10" t="str">
        <f aca="false">IF(AND($G53&lt;=N$5,$H53&gt;=N$4),"■","")</f>
        <v/>
      </c>
      <c r="O53" s="10" t="str">
        <f aca="false">IF(AND($G53&lt;=O$5,$H53&gt;=O$4),"■","")</f>
        <v/>
      </c>
      <c r="P53" s="10" t="str">
        <f aca="false">IF(AND($G53&lt;=P$5,$H53&gt;=P$4),"■","")</f>
        <v/>
      </c>
      <c r="Q53" s="10" t="str">
        <f aca="false">IF(AND($G53&lt;=Q$5,$H53&gt;=Q$4),"■","")</f>
        <v/>
      </c>
      <c r="R53" s="10" t="str">
        <f aca="false">IF(AND($G53&lt;=R$5,$H53&gt;=R$4),"■","")</f>
        <v/>
      </c>
      <c r="S53" s="10" t="str">
        <f aca="false">IF(AND($G53&lt;=S$5,$H53&gt;=S$4),"■","")</f>
        <v>■</v>
      </c>
      <c r="T53" s="10" t="str">
        <f aca="false">IF(AND($G53&lt;=T$5,$H53&gt;=T$4),"■","")</f>
        <v>■</v>
      </c>
      <c r="U53" s="10" t="str">
        <f aca="false">IF(AND($G53&lt;=U$5,$H53&gt;=U$4),"■","")</f>
        <v>■</v>
      </c>
      <c r="V53" s="10" t="str">
        <f aca="false">IF(AND($G53&lt;=V$5,$H53&gt;=V$4),"■","")</f>
        <v>■</v>
      </c>
      <c r="W53" s="10" t="str">
        <f aca="false">IF(AND($G53&lt;=W$5,$H53&gt;=W$4),"■","")</f>
        <v/>
      </c>
      <c r="X53" s="10" t="str">
        <f aca="false">IF(AND($G53&lt;=X$5,$H53&gt;=X$4),"■","")</f>
        <v/>
      </c>
      <c r="Y53" s="10" t="str">
        <f aca="false">IF(AND($G53&lt;=Y$5,$H53&gt;=Y$4),"■","")</f>
        <v/>
      </c>
      <c r="Z53" s="10" t="str">
        <f aca="false">IF(AND($G53&lt;=Z$5,$H53&gt;=Z$4),"■","")</f>
        <v/>
      </c>
      <c r="AA53" s="10" t="str">
        <f aca="false">IF(AND($G53&lt;=AA$5,$H53&gt;=AA$4),"■","")</f>
        <v/>
      </c>
    </row>
    <row r="54" customFormat="false" ht="23.85" hidden="false" customHeight="false" outlineLevel="0" collapsed="false">
      <c r="A54" s="4" t="s">
        <v>339</v>
      </c>
      <c r="B54" s="4" t="s">
        <v>322</v>
      </c>
      <c r="C54" s="4" t="s">
        <v>340</v>
      </c>
      <c r="D54" s="4" t="s">
        <v>341</v>
      </c>
      <c r="E54" s="4" t="s">
        <v>26</v>
      </c>
      <c r="F54" s="11" t="s">
        <v>155</v>
      </c>
      <c r="G54" s="9" t="n">
        <v>40</v>
      </c>
      <c r="H54" s="9" t="n">
        <v>65</v>
      </c>
      <c r="I54" s="12" t="n">
        <f aca="false">H54-G54+1</f>
        <v>26</v>
      </c>
      <c r="J54" s="4" t="s">
        <v>342</v>
      </c>
      <c r="K54" s="4" t="s">
        <v>329</v>
      </c>
      <c r="L54" s="4"/>
      <c r="M54" s="10" t="str">
        <f aca="false">IF(AND($G54&lt;=M$5,$H54&gt;=M$4),"■","")</f>
        <v/>
      </c>
      <c r="N54" s="10" t="str">
        <f aca="false">IF(AND($G54&lt;=N$5,$H54&gt;=N$4),"■","")</f>
        <v/>
      </c>
      <c r="O54" s="10" t="str">
        <f aca="false">IF(AND($G54&lt;=O$5,$H54&gt;=O$4),"■","")</f>
        <v/>
      </c>
      <c r="P54" s="10" t="str">
        <f aca="false">IF(AND($G54&lt;=P$5,$H54&gt;=P$4),"■","")</f>
        <v/>
      </c>
      <c r="Q54" s="10" t="str">
        <f aca="false">IF(AND($G54&lt;=Q$5,$H54&gt;=Q$4),"■","")</f>
        <v/>
      </c>
      <c r="R54" s="10" t="str">
        <f aca="false">IF(AND($G54&lt;=R$5,$H54&gt;=R$4),"■","")</f>
        <v/>
      </c>
      <c r="S54" s="10" t="str">
        <f aca="false">IF(AND($G54&lt;=S$5,$H54&gt;=S$4),"■","")</f>
        <v>■</v>
      </c>
      <c r="T54" s="10" t="str">
        <f aca="false">IF(AND($G54&lt;=T$5,$H54&gt;=T$4),"■","")</f>
        <v>■</v>
      </c>
      <c r="U54" s="10" t="str">
        <f aca="false">IF(AND($G54&lt;=U$5,$H54&gt;=U$4),"■","")</f>
        <v>■</v>
      </c>
      <c r="V54" s="10" t="str">
        <f aca="false">IF(AND($G54&lt;=V$5,$H54&gt;=V$4),"■","")</f>
        <v>■</v>
      </c>
      <c r="W54" s="10" t="str">
        <f aca="false">IF(AND($G54&lt;=W$5,$H54&gt;=W$4),"■","")</f>
        <v>■</v>
      </c>
      <c r="X54" s="10" t="str">
        <f aca="false">IF(AND($G54&lt;=X$5,$H54&gt;=X$4),"■","")</f>
        <v/>
      </c>
      <c r="Y54" s="10" t="str">
        <f aca="false">IF(AND($G54&lt;=Y$5,$H54&gt;=Y$4),"■","")</f>
        <v/>
      </c>
      <c r="Z54" s="10" t="str">
        <f aca="false">IF(AND($G54&lt;=Z$5,$H54&gt;=Z$4),"■","")</f>
        <v/>
      </c>
      <c r="AA54" s="10" t="str">
        <f aca="false">IF(AND($G54&lt;=AA$5,$H54&gt;=AA$4),"■","")</f>
        <v/>
      </c>
    </row>
    <row r="55" customFormat="false" ht="23.85" hidden="false" customHeight="false" outlineLevel="0" collapsed="false">
      <c r="A55" s="4" t="s">
        <v>343</v>
      </c>
      <c r="B55" s="4" t="s">
        <v>322</v>
      </c>
      <c r="C55" s="4" t="s">
        <v>344</v>
      </c>
      <c r="D55" s="4" t="s">
        <v>345</v>
      </c>
      <c r="E55" s="4" t="s">
        <v>26</v>
      </c>
      <c r="F55" s="11" t="s">
        <v>141</v>
      </c>
      <c r="G55" s="9" t="n">
        <v>30</v>
      </c>
      <c r="H55" s="9" t="n">
        <v>60</v>
      </c>
      <c r="I55" s="12" t="n">
        <f aca="false">H55-G55+1</f>
        <v>31</v>
      </c>
      <c r="J55" s="4" t="s">
        <v>306</v>
      </c>
      <c r="K55" s="4" t="s">
        <v>329</v>
      </c>
      <c r="L55" s="4"/>
      <c r="M55" s="10" t="str">
        <f aca="false">IF(AND($G55&lt;=M$5,$H55&gt;=M$4),"■","")</f>
        <v/>
      </c>
      <c r="N55" s="10" t="str">
        <f aca="false">IF(AND($G55&lt;=N$5,$H55&gt;=N$4),"■","")</f>
        <v/>
      </c>
      <c r="O55" s="10" t="str">
        <f aca="false">IF(AND($G55&lt;=O$5,$H55&gt;=O$4),"■","")</f>
        <v/>
      </c>
      <c r="P55" s="10" t="str">
        <f aca="false">IF(AND($G55&lt;=P$5,$H55&gt;=P$4),"■","")</f>
        <v/>
      </c>
      <c r="Q55" s="10" t="str">
        <f aca="false">IF(AND($G55&lt;=Q$5,$H55&gt;=Q$4),"■","")</f>
        <v/>
      </c>
      <c r="R55" s="10" t="str">
        <f aca="false">IF(AND($G55&lt;=R$5,$H55&gt;=R$4),"■","")</f>
        <v>■</v>
      </c>
      <c r="S55" s="10" t="str">
        <f aca="false">IF(AND($G55&lt;=S$5,$H55&gt;=S$4),"■","")</f>
        <v>■</v>
      </c>
      <c r="T55" s="10" t="str">
        <f aca="false">IF(AND($G55&lt;=T$5,$H55&gt;=T$4),"■","")</f>
        <v>■</v>
      </c>
      <c r="U55" s="10" t="str">
        <f aca="false">IF(AND($G55&lt;=U$5,$H55&gt;=U$4),"■","")</f>
        <v>■</v>
      </c>
      <c r="V55" s="10" t="str">
        <f aca="false">IF(AND($G55&lt;=V$5,$H55&gt;=V$4),"■","")</f>
        <v>■</v>
      </c>
      <c r="W55" s="10" t="str">
        <f aca="false">IF(AND($G55&lt;=W$5,$H55&gt;=W$4),"■","")</f>
        <v/>
      </c>
      <c r="X55" s="10" t="str">
        <f aca="false">IF(AND($G55&lt;=X$5,$H55&gt;=X$4),"■","")</f>
        <v/>
      </c>
      <c r="Y55" s="10" t="str">
        <f aca="false">IF(AND($G55&lt;=Y$5,$H55&gt;=Y$4),"■","")</f>
        <v/>
      </c>
      <c r="Z55" s="10" t="str">
        <f aca="false">IF(AND($G55&lt;=Z$5,$H55&gt;=Z$4),"■","")</f>
        <v/>
      </c>
      <c r="AA55" s="10" t="str">
        <f aca="false">IF(AND($G55&lt;=AA$5,$H55&gt;=AA$4),"■","")</f>
        <v/>
      </c>
    </row>
    <row r="56" customFormat="false" ht="23.85" hidden="false" customHeight="false" outlineLevel="0" collapsed="false">
      <c r="A56" s="4" t="s">
        <v>346</v>
      </c>
      <c r="B56" s="4" t="s">
        <v>322</v>
      </c>
      <c r="C56" s="4" t="s">
        <v>347</v>
      </c>
      <c r="D56" s="4" t="s">
        <v>348</v>
      </c>
      <c r="E56" s="4" t="s">
        <v>26</v>
      </c>
      <c r="F56" s="11" t="s">
        <v>155</v>
      </c>
      <c r="G56" s="9" t="n">
        <v>45</v>
      </c>
      <c r="H56" s="9" t="n">
        <v>70</v>
      </c>
      <c r="I56" s="12" t="n">
        <f aca="false">H56-G56+1</f>
        <v>26</v>
      </c>
      <c r="J56" s="4" t="s">
        <v>309</v>
      </c>
      <c r="K56" s="4" t="s">
        <v>312</v>
      </c>
      <c r="L56" s="4"/>
      <c r="M56" s="10" t="str">
        <f aca="false">IF(AND($G56&lt;=M$5,$H56&gt;=M$4),"■","")</f>
        <v/>
      </c>
      <c r="N56" s="10" t="str">
        <f aca="false">IF(AND($G56&lt;=N$5,$H56&gt;=N$4),"■","")</f>
        <v/>
      </c>
      <c r="O56" s="10" t="str">
        <f aca="false">IF(AND($G56&lt;=O$5,$H56&gt;=O$4),"■","")</f>
        <v/>
      </c>
      <c r="P56" s="10" t="str">
        <f aca="false">IF(AND($G56&lt;=P$5,$H56&gt;=P$4),"■","")</f>
        <v/>
      </c>
      <c r="Q56" s="10" t="str">
        <f aca="false">IF(AND($G56&lt;=Q$5,$H56&gt;=Q$4),"■","")</f>
        <v/>
      </c>
      <c r="R56" s="10" t="str">
        <f aca="false">IF(AND($G56&lt;=R$5,$H56&gt;=R$4),"■","")</f>
        <v/>
      </c>
      <c r="S56" s="10" t="str">
        <f aca="false">IF(AND($G56&lt;=S$5,$H56&gt;=S$4),"■","")</f>
        <v/>
      </c>
      <c r="T56" s="10" t="str">
        <f aca="false">IF(AND($G56&lt;=T$5,$H56&gt;=T$4),"■","")</f>
        <v>■</v>
      </c>
      <c r="U56" s="10" t="str">
        <f aca="false">IF(AND($G56&lt;=U$5,$H56&gt;=U$4),"■","")</f>
        <v>■</v>
      </c>
      <c r="V56" s="10" t="str">
        <f aca="false">IF(AND($G56&lt;=V$5,$H56&gt;=V$4),"■","")</f>
        <v>■</v>
      </c>
      <c r="W56" s="10" t="str">
        <f aca="false">IF(AND($G56&lt;=W$5,$H56&gt;=W$4),"■","")</f>
        <v>■</v>
      </c>
      <c r="X56" s="10" t="str">
        <f aca="false">IF(AND($G56&lt;=X$5,$H56&gt;=X$4),"■","")</f>
        <v>■</v>
      </c>
      <c r="Y56" s="10" t="str">
        <f aca="false">IF(AND($G56&lt;=Y$5,$H56&gt;=Y$4),"■","")</f>
        <v/>
      </c>
      <c r="Z56" s="10" t="str">
        <f aca="false">IF(AND($G56&lt;=Z$5,$H56&gt;=Z$4),"■","")</f>
        <v/>
      </c>
      <c r="AA56" s="10" t="str">
        <f aca="false">IF(AND($G56&lt;=AA$5,$H56&gt;=AA$4),"■","")</f>
        <v/>
      </c>
    </row>
    <row r="57" customFormat="false" ht="23.85" hidden="false" customHeight="false" outlineLevel="0" collapsed="false">
      <c r="A57" s="4" t="s">
        <v>349</v>
      </c>
      <c r="B57" s="4" t="s">
        <v>322</v>
      </c>
      <c r="C57" s="4" t="s">
        <v>350</v>
      </c>
      <c r="D57" s="4" t="s">
        <v>351</v>
      </c>
      <c r="E57" s="4" t="s">
        <v>26</v>
      </c>
      <c r="F57" s="11" t="s">
        <v>141</v>
      </c>
      <c r="G57" s="9" t="n">
        <v>45</v>
      </c>
      <c r="H57" s="9" t="n">
        <v>70</v>
      </c>
      <c r="I57" s="12" t="n">
        <f aca="false">H57-G57+1</f>
        <v>26</v>
      </c>
      <c r="J57" s="4" t="s">
        <v>297</v>
      </c>
      <c r="K57" s="4" t="s">
        <v>290</v>
      </c>
      <c r="L57" s="4"/>
      <c r="M57" s="10" t="str">
        <f aca="false">IF(AND($G57&lt;=M$5,$H57&gt;=M$4),"■","")</f>
        <v/>
      </c>
      <c r="N57" s="10" t="str">
        <f aca="false">IF(AND($G57&lt;=N$5,$H57&gt;=N$4),"■","")</f>
        <v/>
      </c>
      <c r="O57" s="10" t="str">
        <f aca="false">IF(AND($G57&lt;=O$5,$H57&gt;=O$4),"■","")</f>
        <v/>
      </c>
      <c r="P57" s="10" t="str">
        <f aca="false">IF(AND($G57&lt;=P$5,$H57&gt;=P$4),"■","")</f>
        <v/>
      </c>
      <c r="Q57" s="10" t="str">
        <f aca="false">IF(AND($G57&lt;=Q$5,$H57&gt;=Q$4),"■","")</f>
        <v/>
      </c>
      <c r="R57" s="10" t="str">
        <f aca="false">IF(AND($G57&lt;=R$5,$H57&gt;=R$4),"■","")</f>
        <v/>
      </c>
      <c r="S57" s="10" t="str">
        <f aca="false">IF(AND($G57&lt;=S$5,$H57&gt;=S$4),"■","")</f>
        <v/>
      </c>
      <c r="T57" s="10" t="str">
        <f aca="false">IF(AND($G57&lt;=T$5,$H57&gt;=T$4),"■","")</f>
        <v>■</v>
      </c>
      <c r="U57" s="10" t="str">
        <f aca="false">IF(AND($G57&lt;=U$5,$H57&gt;=U$4),"■","")</f>
        <v>■</v>
      </c>
      <c r="V57" s="10" t="str">
        <f aca="false">IF(AND($G57&lt;=V$5,$H57&gt;=V$4),"■","")</f>
        <v>■</v>
      </c>
      <c r="W57" s="10" t="str">
        <f aca="false">IF(AND($G57&lt;=W$5,$H57&gt;=W$4),"■","")</f>
        <v>■</v>
      </c>
      <c r="X57" s="10" t="str">
        <f aca="false">IF(AND($G57&lt;=X$5,$H57&gt;=X$4),"■","")</f>
        <v>■</v>
      </c>
      <c r="Y57" s="10" t="str">
        <f aca="false">IF(AND($G57&lt;=Y$5,$H57&gt;=Y$4),"■","")</f>
        <v/>
      </c>
      <c r="Z57" s="10" t="str">
        <f aca="false">IF(AND($G57&lt;=Z$5,$H57&gt;=Z$4),"■","")</f>
        <v/>
      </c>
      <c r="AA57" s="10" t="str">
        <f aca="false">IF(AND($G57&lt;=AA$5,$H57&gt;=AA$4),"■","")</f>
        <v/>
      </c>
    </row>
    <row r="58" customFormat="false" ht="15" hidden="false" customHeight="false" outlineLevel="0" collapsed="false">
      <c r="A58" s="4" t="s">
        <v>352</v>
      </c>
      <c r="B58" s="4" t="s">
        <v>322</v>
      </c>
      <c r="C58" s="4" t="s">
        <v>353</v>
      </c>
      <c r="D58" s="4" t="s">
        <v>354</v>
      </c>
      <c r="E58" s="4" t="s">
        <v>34</v>
      </c>
      <c r="F58" s="11" t="s">
        <v>155</v>
      </c>
      <c r="G58" s="9" t="n">
        <v>35</v>
      </c>
      <c r="H58" s="9" t="n">
        <v>75</v>
      </c>
      <c r="I58" s="12" t="n">
        <f aca="false">H58-G58+1</f>
        <v>41</v>
      </c>
      <c r="J58" s="4" t="s">
        <v>355</v>
      </c>
      <c r="K58" s="4" t="s">
        <v>356</v>
      </c>
      <c r="L58" s="4"/>
      <c r="M58" s="10" t="str">
        <f aca="false">IF(AND($G58&lt;=M$5,$H58&gt;=M$4),"■","")</f>
        <v/>
      </c>
      <c r="N58" s="10" t="str">
        <f aca="false">IF(AND($G58&lt;=N$5,$H58&gt;=N$4),"■","")</f>
        <v/>
      </c>
      <c r="O58" s="10" t="str">
        <f aca="false">IF(AND($G58&lt;=O$5,$H58&gt;=O$4),"■","")</f>
        <v/>
      </c>
      <c r="P58" s="10" t="str">
        <f aca="false">IF(AND($G58&lt;=P$5,$H58&gt;=P$4),"■","")</f>
        <v/>
      </c>
      <c r="Q58" s="10" t="str">
        <f aca="false">IF(AND($G58&lt;=Q$5,$H58&gt;=Q$4),"■","")</f>
        <v/>
      </c>
      <c r="R58" s="10" t="str">
        <f aca="false">IF(AND($G58&lt;=R$5,$H58&gt;=R$4),"■","")</f>
        <v/>
      </c>
      <c r="S58" s="10" t="str">
        <f aca="false">IF(AND($G58&lt;=S$5,$H58&gt;=S$4),"■","")</f>
        <v>■</v>
      </c>
      <c r="T58" s="10" t="str">
        <f aca="false">IF(AND($G58&lt;=T$5,$H58&gt;=T$4),"■","")</f>
        <v>■</v>
      </c>
      <c r="U58" s="10" t="str">
        <f aca="false">IF(AND($G58&lt;=U$5,$H58&gt;=U$4),"■","")</f>
        <v>■</v>
      </c>
      <c r="V58" s="10" t="str">
        <f aca="false">IF(AND($G58&lt;=V$5,$H58&gt;=V$4),"■","")</f>
        <v>■</v>
      </c>
      <c r="W58" s="10" t="str">
        <f aca="false">IF(AND($G58&lt;=W$5,$H58&gt;=W$4),"■","")</f>
        <v>■</v>
      </c>
      <c r="X58" s="10" t="str">
        <f aca="false">IF(AND($G58&lt;=X$5,$H58&gt;=X$4),"■","")</f>
        <v>■</v>
      </c>
      <c r="Y58" s="10" t="str">
        <f aca="false">IF(AND($G58&lt;=Y$5,$H58&gt;=Y$4),"■","")</f>
        <v/>
      </c>
      <c r="Z58" s="10" t="str">
        <f aca="false">IF(AND($G58&lt;=Z$5,$H58&gt;=Z$4),"■","")</f>
        <v/>
      </c>
      <c r="AA58" s="10" t="str">
        <f aca="false">IF(AND($G58&lt;=AA$5,$H58&gt;=AA$4),"■","")</f>
        <v/>
      </c>
    </row>
    <row r="59" customFormat="false" ht="15" hidden="false" customHeight="false" outlineLevel="0" collapsed="false">
      <c r="A59" s="4" t="s">
        <v>357</v>
      </c>
      <c r="B59" s="4" t="s">
        <v>322</v>
      </c>
      <c r="C59" s="4" t="s">
        <v>358</v>
      </c>
      <c r="D59" s="4" t="s">
        <v>359</v>
      </c>
      <c r="E59" s="4" t="s">
        <v>26</v>
      </c>
      <c r="F59" s="11" t="s">
        <v>155</v>
      </c>
      <c r="G59" s="9" t="n">
        <v>35</v>
      </c>
      <c r="H59" s="9" t="n">
        <v>75</v>
      </c>
      <c r="I59" s="12" t="n">
        <f aca="false">H59-G59+1</f>
        <v>41</v>
      </c>
      <c r="J59" s="4" t="s">
        <v>352</v>
      </c>
      <c r="K59" s="4" t="s">
        <v>202</v>
      </c>
      <c r="L59" s="4"/>
      <c r="M59" s="10" t="str">
        <f aca="false">IF(AND($G59&lt;=M$5,$H59&gt;=M$4),"■","")</f>
        <v/>
      </c>
      <c r="N59" s="10" t="str">
        <f aca="false">IF(AND($G59&lt;=N$5,$H59&gt;=N$4),"■","")</f>
        <v/>
      </c>
      <c r="O59" s="10" t="str">
        <f aca="false">IF(AND($G59&lt;=O$5,$H59&gt;=O$4),"■","")</f>
        <v/>
      </c>
      <c r="P59" s="10" t="str">
        <f aca="false">IF(AND($G59&lt;=P$5,$H59&gt;=P$4),"■","")</f>
        <v/>
      </c>
      <c r="Q59" s="10" t="str">
        <f aca="false">IF(AND($G59&lt;=Q$5,$H59&gt;=Q$4),"■","")</f>
        <v/>
      </c>
      <c r="R59" s="10" t="str">
        <f aca="false">IF(AND($G59&lt;=R$5,$H59&gt;=R$4),"■","")</f>
        <v/>
      </c>
      <c r="S59" s="10" t="str">
        <f aca="false">IF(AND($G59&lt;=S$5,$H59&gt;=S$4),"■","")</f>
        <v>■</v>
      </c>
      <c r="T59" s="10" t="str">
        <f aca="false">IF(AND($G59&lt;=T$5,$H59&gt;=T$4),"■","")</f>
        <v>■</v>
      </c>
      <c r="U59" s="10" t="str">
        <f aca="false">IF(AND($G59&lt;=U$5,$H59&gt;=U$4),"■","")</f>
        <v>■</v>
      </c>
      <c r="V59" s="10" t="str">
        <f aca="false">IF(AND($G59&lt;=V$5,$H59&gt;=V$4),"■","")</f>
        <v>■</v>
      </c>
      <c r="W59" s="10" t="str">
        <f aca="false">IF(AND($G59&lt;=W$5,$H59&gt;=W$4),"■","")</f>
        <v>■</v>
      </c>
      <c r="X59" s="10" t="str">
        <f aca="false">IF(AND($G59&lt;=X$5,$H59&gt;=X$4),"■","")</f>
        <v>■</v>
      </c>
      <c r="Y59" s="10" t="str">
        <f aca="false">IF(AND($G59&lt;=Y$5,$H59&gt;=Y$4),"■","")</f>
        <v/>
      </c>
      <c r="Z59" s="10" t="str">
        <f aca="false">IF(AND($G59&lt;=Z$5,$H59&gt;=Z$4),"■","")</f>
        <v/>
      </c>
      <c r="AA59" s="10" t="str">
        <f aca="false">IF(AND($G59&lt;=AA$5,$H59&gt;=AA$4),"■","")</f>
        <v/>
      </c>
    </row>
    <row r="60" customFormat="false" ht="23.85" hidden="false" customHeight="false" outlineLevel="0" collapsed="false">
      <c r="A60" s="4" t="s">
        <v>360</v>
      </c>
      <c r="B60" s="4" t="s">
        <v>322</v>
      </c>
      <c r="C60" s="4" t="s">
        <v>361</v>
      </c>
      <c r="D60" s="4" t="s">
        <v>362</v>
      </c>
      <c r="E60" s="4" t="s">
        <v>26</v>
      </c>
      <c r="F60" s="11" t="s">
        <v>141</v>
      </c>
      <c r="G60" s="9" t="n">
        <v>7</v>
      </c>
      <c r="H60" s="9" t="n">
        <v>90</v>
      </c>
      <c r="I60" s="12" t="n">
        <f aca="false">H60-G60+1</f>
        <v>84</v>
      </c>
      <c r="J60" s="4"/>
      <c r="K60" s="4" t="s">
        <v>363</v>
      </c>
      <c r="L60" s="4"/>
      <c r="M60" s="10" t="str">
        <f aca="false">IF(AND($G60&lt;=M$5,$H60&gt;=M$4),"■","")</f>
        <v/>
      </c>
      <c r="N60" s="10" t="str">
        <f aca="false">IF(AND($G60&lt;=N$5,$H60&gt;=N$4),"■","")</f>
        <v/>
      </c>
      <c r="O60" s="10" t="str">
        <f aca="false">IF(AND($G60&lt;=O$5,$H60&gt;=O$4),"■","")</f>
        <v>■</v>
      </c>
      <c r="P60" s="10" t="str">
        <f aca="false">IF(AND($G60&lt;=P$5,$H60&gt;=P$4),"■","")</f>
        <v>■</v>
      </c>
      <c r="Q60" s="10" t="str">
        <f aca="false">IF(AND($G60&lt;=Q$5,$H60&gt;=Q$4),"■","")</f>
        <v>■</v>
      </c>
      <c r="R60" s="10" t="str">
        <f aca="false">IF(AND($G60&lt;=R$5,$H60&gt;=R$4),"■","")</f>
        <v>■</v>
      </c>
      <c r="S60" s="10" t="str">
        <f aca="false">IF(AND($G60&lt;=S$5,$H60&gt;=S$4),"■","")</f>
        <v>■</v>
      </c>
      <c r="T60" s="10" t="str">
        <f aca="false">IF(AND($G60&lt;=T$5,$H60&gt;=T$4),"■","")</f>
        <v>■</v>
      </c>
      <c r="U60" s="10" t="str">
        <f aca="false">IF(AND($G60&lt;=U$5,$H60&gt;=U$4),"■","")</f>
        <v>■</v>
      </c>
      <c r="V60" s="10" t="str">
        <f aca="false">IF(AND($G60&lt;=V$5,$H60&gt;=V$4),"■","")</f>
        <v>■</v>
      </c>
      <c r="W60" s="10" t="str">
        <f aca="false">IF(AND($G60&lt;=W$5,$H60&gt;=W$4),"■","")</f>
        <v>■</v>
      </c>
      <c r="X60" s="10" t="str">
        <f aca="false">IF(AND($G60&lt;=X$5,$H60&gt;=X$4),"■","")</f>
        <v>■</v>
      </c>
      <c r="Y60" s="10" t="str">
        <f aca="false">IF(AND($G60&lt;=Y$5,$H60&gt;=Y$4),"■","")</f>
        <v>■</v>
      </c>
      <c r="Z60" s="10" t="str">
        <f aca="false">IF(AND($G60&lt;=Z$5,$H60&gt;=Z$4),"■","")</f>
        <v>■</v>
      </c>
      <c r="AA60" s="10" t="str">
        <f aca="false">IF(AND($G60&lt;=AA$5,$H60&gt;=AA$4),"■","")</f>
        <v/>
      </c>
    </row>
    <row r="61" customFormat="false" ht="23.85" hidden="false" customHeight="false" outlineLevel="0" collapsed="false">
      <c r="A61" s="4" t="s">
        <v>364</v>
      </c>
      <c r="B61" s="4" t="s">
        <v>365</v>
      </c>
      <c r="C61" s="4" t="s">
        <v>366</v>
      </c>
      <c r="D61" s="4" t="s">
        <v>367</v>
      </c>
      <c r="E61" s="4" t="s">
        <v>26</v>
      </c>
      <c r="F61" s="11" t="s">
        <v>155</v>
      </c>
      <c r="G61" s="9" t="n">
        <v>10</v>
      </c>
      <c r="H61" s="9" t="n">
        <v>14</v>
      </c>
      <c r="I61" s="12" t="n">
        <f aca="false">H61-G61+1</f>
        <v>5</v>
      </c>
      <c r="J61" s="4" t="s">
        <v>236</v>
      </c>
      <c r="K61" s="4" t="s">
        <v>368</v>
      </c>
      <c r="L61" s="4"/>
      <c r="M61" s="10" t="str">
        <f aca="false">IF(AND($G61&lt;=M$5,$H61&gt;=M$4),"■","")</f>
        <v/>
      </c>
      <c r="N61" s="10" t="str">
        <f aca="false">IF(AND($G61&lt;=N$5,$H61&gt;=N$4),"■","")</f>
        <v/>
      </c>
      <c r="O61" s="10" t="str">
        <f aca="false">IF(AND($G61&lt;=O$5,$H61&gt;=O$4),"■","")</f>
        <v>■</v>
      </c>
      <c r="P61" s="10" t="str">
        <f aca="false">IF(AND($G61&lt;=P$5,$H61&gt;=P$4),"■","")</f>
        <v>■</v>
      </c>
      <c r="Q61" s="10" t="str">
        <f aca="false">IF(AND($G61&lt;=Q$5,$H61&gt;=Q$4),"■","")</f>
        <v/>
      </c>
      <c r="R61" s="10" t="str">
        <f aca="false">IF(AND($G61&lt;=R$5,$H61&gt;=R$4),"■","")</f>
        <v/>
      </c>
      <c r="S61" s="10" t="str">
        <f aca="false">IF(AND($G61&lt;=S$5,$H61&gt;=S$4),"■","")</f>
        <v/>
      </c>
      <c r="T61" s="10" t="str">
        <f aca="false">IF(AND($G61&lt;=T$5,$H61&gt;=T$4),"■","")</f>
        <v/>
      </c>
      <c r="U61" s="10" t="str">
        <f aca="false">IF(AND($G61&lt;=U$5,$H61&gt;=U$4),"■","")</f>
        <v/>
      </c>
      <c r="V61" s="10" t="str">
        <f aca="false">IF(AND($G61&lt;=V$5,$H61&gt;=V$4),"■","")</f>
        <v/>
      </c>
      <c r="W61" s="10" t="str">
        <f aca="false">IF(AND($G61&lt;=W$5,$H61&gt;=W$4),"■","")</f>
        <v/>
      </c>
      <c r="X61" s="10" t="str">
        <f aca="false">IF(AND($G61&lt;=X$5,$H61&gt;=X$4),"■","")</f>
        <v/>
      </c>
      <c r="Y61" s="10" t="str">
        <f aca="false">IF(AND($G61&lt;=Y$5,$H61&gt;=Y$4),"■","")</f>
        <v/>
      </c>
      <c r="Z61" s="10" t="str">
        <f aca="false">IF(AND($G61&lt;=Z$5,$H61&gt;=Z$4),"■","")</f>
        <v/>
      </c>
      <c r="AA61" s="10" t="str">
        <f aca="false">IF(AND($G61&lt;=AA$5,$H61&gt;=AA$4),"■","")</f>
        <v/>
      </c>
    </row>
    <row r="62" customFormat="false" ht="23.85" hidden="false" customHeight="false" outlineLevel="0" collapsed="false">
      <c r="A62" s="4" t="s">
        <v>369</v>
      </c>
      <c r="B62" s="4" t="s">
        <v>365</v>
      </c>
      <c r="C62" s="4" t="s">
        <v>370</v>
      </c>
      <c r="D62" s="4" t="s">
        <v>371</v>
      </c>
      <c r="E62" s="4" t="s">
        <v>26</v>
      </c>
      <c r="F62" s="11" t="s">
        <v>155</v>
      </c>
      <c r="G62" s="9" t="n">
        <v>14</v>
      </c>
      <c r="H62" s="9" t="n">
        <v>85</v>
      </c>
      <c r="I62" s="12" t="n">
        <f aca="false">H62-G62+1</f>
        <v>72</v>
      </c>
      <c r="J62" s="4" t="s">
        <v>364</v>
      </c>
      <c r="K62" s="4" t="s">
        <v>372</v>
      </c>
      <c r="L62" s="4"/>
      <c r="M62" s="10" t="str">
        <f aca="false">IF(AND($G62&lt;=M$5,$H62&gt;=M$4),"■","")</f>
        <v/>
      </c>
      <c r="N62" s="10" t="str">
        <f aca="false">IF(AND($G62&lt;=N$5,$H62&gt;=N$4),"■","")</f>
        <v/>
      </c>
      <c r="O62" s="10" t="str">
        <f aca="false">IF(AND($G62&lt;=O$5,$H62&gt;=O$4),"■","")</f>
        <v/>
      </c>
      <c r="P62" s="10" t="str">
        <f aca="false">IF(AND($G62&lt;=P$5,$H62&gt;=P$4),"■","")</f>
        <v>■</v>
      </c>
      <c r="Q62" s="10" t="str">
        <f aca="false">IF(AND($G62&lt;=Q$5,$H62&gt;=Q$4),"■","")</f>
        <v>■</v>
      </c>
      <c r="R62" s="10" t="str">
        <f aca="false">IF(AND($G62&lt;=R$5,$H62&gt;=R$4),"■","")</f>
        <v>■</v>
      </c>
      <c r="S62" s="10" t="str">
        <f aca="false">IF(AND($G62&lt;=S$5,$H62&gt;=S$4),"■","")</f>
        <v>■</v>
      </c>
      <c r="T62" s="10" t="str">
        <f aca="false">IF(AND($G62&lt;=T$5,$H62&gt;=T$4),"■","")</f>
        <v>■</v>
      </c>
      <c r="U62" s="10" t="str">
        <f aca="false">IF(AND($G62&lt;=U$5,$H62&gt;=U$4),"■","")</f>
        <v>■</v>
      </c>
      <c r="V62" s="10" t="str">
        <f aca="false">IF(AND($G62&lt;=V$5,$H62&gt;=V$4),"■","")</f>
        <v>■</v>
      </c>
      <c r="W62" s="10" t="str">
        <f aca="false">IF(AND($G62&lt;=W$5,$H62&gt;=W$4),"■","")</f>
        <v>■</v>
      </c>
      <c r="X62" s="10" t="str">
        <f aca="false">IF(AND($G62&lt;=X$5,$H62&gt;=X$4),"■","")</f>
        <v>■</v>
      </c>
      <c r="Y62" s="10" t="str">
        <f aca="false">IF(AND($G62&lt;=Y$5,$H62&gt;=Y$4),"■","")</f>
        <v>■</v>
      </c>
      <c r="Z62" s="10" t="str">
        <f aca="false">IF(AND($G62&lt;=Z$5,$H62&gt;=Z$4),"■","")</f>
        <v>■</v>
      </c>
      <c r="AA62" s="10" t="str">
        <f aca="false">IF(AND($G62&lt;=AA$5,$H62&gt;=AA$4),"■","")</f>
        <v/>
      </c>
    </row>
    <row r="63" customFormat="false" ht="23.85" hidden="false" customHeight="false" outlineLevel="0" collapsed="false">
      <c r="A63" s="4" t="s">
        <v>373</v>
      </c>
      <c r="B63" s="4" t="s">
        <v>365</v>
      </c>
      <c r="C63" s="4" t="s">
        <v>374</v>
      </c>
      <c r="D63" s="4" t="s">
        <v>375</v>
      </c>
      <c r="E63" s="4" t="s">
        <v>26</v>
      </c>
      <c r="F63" s="11" t="s">
        <v>141</v>
      </c>
      <c r="G63" s="9" t="n">
        <v>45</v>
      </c>
      <c r="H63" s="9" t="n">
        <v>45</v>
      </c>
      <c r="I63" s="12" t="n">
        <f aca="false">H63-G63+1</f>
        <v>1</v>
      </c>
      <c r="J63" s="4" t="s">
        <v>369</v>
      </c>
      <c r="K63" s="4" t="s">
        <v>376</v>
      </c>
      <c r="L63" s="4" t="s">
        <v>377</v>
      </c>
      <c r="M63" s="10" t="str">
        <f aca="false">IF(AND($G63&lt;=M$5,$H63&gt;=M$4),"■","")</f>
        <v/>
      </c>
      <c r="N63" s="10" t="str">
        <f aca="false">IF(AND($G63&lt;=N$5,$H63&gt;=N$4),"■","")</f>
        <v/>
      </c>
      <c r="O63" s="10" t="str">
        <f aca="false">IF(AND($G63&lt;=O$5,$H63&gt;=O$4),"■","")</f>
        <v/>
      </c>
      <c r="P63" s="10" t="str">
        <f aca="false">IF(AND($G63&lt;=P$5,$H63&gt;=P$4),"■","")</f>
        <v/>
      </c>
      <c r="Q63" s="10" t="str">
        <f aca="false">IF(AND($G63&lt;=Q$5,$H63&gt;=Q$4),"■","")</f>
        <v/>
      </c>
      <c r="R63" s="10" t="str">
        <f aca="false">IF(AND($G63&lt;=R$5,$H63&gt;=R$4),"■","")</f>
        <v/>
      </c>
      <c r="S63" s="10" t="str">
        <f aca="false">IF(AND($G63&lt;=S$5,$H63&gt;=S$4),"■","")</f>
        <v/>
      </c>
      <c r="T63" s="10" t="str">
        <f aca="false">IF(AND($G63&lt;=T$5,$H63&gt;=T$4),"■","")</f>
        <v>■</v>
      </c>
      <c r="U63" s="10" t="str">
        <f aca="false">IF(AND($G63&lt;=U$5,$H63&gt;=U$4),"■","")</f>
        <v/>
      </c>
      <c r="V63" s="10" t="str">
        <f aca="false">IF(AND($G63&lt;=V$5,$H63&gt;=V$4),"■","")</f>
        <v/>
      </c>
      <c r="W63" s="10" t="str">
        <f aca="false">IF(AND($G63&lt;=W$5,$H63&gt;=W$4),"■","")</f>
        <v/>
      </c>
      <c r="X63" s="10" t="str">
        <f aca="false">IF(AND($G63&lt;=X$5,$H63&gt;=X$4),"■","")</f>
        <v/>
      </c>
      <c r="Y63" s="10" t="str">
        <f aca="false">IF(AND($G63&lt;=Y$5,$H63&gt;=Y$4),"■","")</f>
        <v/>
      </c>
      <c r="Z63" s="10" t="str">
        <f aca="false">IF(AND($G63&lt;=Z$5,$H63&gt;=Z$4),"■","")</f>
        <v/>
      </c>
      <c r="AA63" s="10" t="str">
        <f aca="false">IF(AND($G63&lt;=AA$5,$H63&gt;=AA$4),"■","")</f>
        <v/>
      </c>
    </row>
    <row r="64" customFormat="false" ht="23.85" hidden="false" customHeight="false" outlineLevel="0" collapsed="false">
      <c r="A64" s="4" t="s">
        <v>378</v>
      </c>
      <c r="B64" s="4" t="s">
        <v>365</v>
      </c>
      <c r="C64" s="4" t="s">
        <v>379</v>
      </c>
      <c r="D64" s="4" t="s">
        <v>380</v>
      </c>
      <c r="E64" s="4" t="s">
        <v>26</v>
      </c>
      <c r="F64" s="11" t="s">
        <v>155</v>
      </c>
      <c r="G64" s="9" t="n">
        <v>60</v>
      </c>
      <c r="H64" s="9" t="n">
        <v>85</v>
      </c>
      <c r="I64" s="12" t="n">
        <f aca="false">H64-G64+1</f>
        <v>26</v>
      </c>
      <c r="J64" s="4" t="s">
        <v>352</v>
      </c>
      <c r="K64" s="4" t="s">
        <v>381</v>
      </c>
      <c r="L64" s="4"/>
      <c r="M64" s="10" t="str">
        <f aca="false">IF(AND($G64&lt;=M$5,$H64&gt;=M$4),"■","")</f>
        <v/>
      </c>
      <c r="N64" s="10" t="str">
        <f aca="false">IF(AND($G64&lt;=N$5,$H64&gt;=N$4),"■","")</f>
        <v/>
      </c>
      <c r="O64" s="10" t="str">
        <f aca="false">IF(AND($G64&lt;=O$5,$H64&gt;=O$4),"■","")</f>
        <v/>
      </c>
      <c r="P64" s="10" t="str">
        <f aca="false">IF(AND($G64&lt;=P$5,$H64&gt;=P$4),"■","")</f>
        <v/>
      </c>
      <c r="Q64" s="10" t="str">
        <f aca="false">IF(AND($G64&lt;=Q$5,$H64&gt;=Q$4),"■","")</f>
        <v/>
      </c>
      <c r="R64" s="10" t="str">
        <f aca="false">IF(AND($G64&lt;=R$5,$H64&gt;=R$4),"■","")</f>
        <v/>
      </c>
      <c r="S64" s="10" t="str">
        <f aca="false">IF(AND($G64&lt;=S$5,$H64&gt;=S$4),"■","")</f>
        <v/>
      </c>
      <c r="T64" s="10" t="str">
        <f aca="false">IF(AND($G64&lt;=T$5,$H64&gt;=T$4),"■","")</f>
        <v/>
      </c>
      <c r="U64" s="10" t="str">
        <f aca="false">IF(AND($G64&lt;=U$5,$H64&gt;=U$4),"■","")</f>
        <v/>
      </c>
      <c r="V64" s="10" t="str">
        <f aca="false">IF(AND($G64&lt;=V$5,$H64&gt;=V$4),"■","")</f>
        <v>■</v>
      </c>
      <c r="W64" s="10" t="str">
        <f aca="false">IF(AND($G64&lt;=W$5,$H64&gt;=W$4),"■","")</f>
        <v>■</v>
      </c>
      <c r="X64" s="10" t="str">
        <f aca="false">IF(AND($G64&lt;=X$5,$H64&gt;=X$4),"■","")</f>
        <v>■</v>
      </c>
      <c r="Y64" s="10" t="str">
        <f aca="false">IF(AND($G64&lt;=Y$5,$H64&gt;=Y$4),"■","")</f>
        <v>■</v>
      </c>
      <c r="Z64" s="10" t="str">
        <f aca="false">IF(AND($G64&lt;=Z$5,$H64&gt;=Z$4),"■","")</f>
        <v>■</v>
      </c>
      <c r="AA64" s="10" t="str">
        <f aca="false">IF(AND($G64&lt;=AA$5,$H64&gt;=AA$4),"■","")</f>
        <v/>
      </c>
    </row>
    <row r="65" customFormat="false" ht="23.85" hidden="false" customHeight="false" outlineLevel="0" collapsed="false">
      <c r="A65" s="4" t="s">
        <v>382</v>
      </c>
      <c r="B65" s="4" t="s">
        <v>365</v>
      </c>
      <c r="C65" s="4" t="s">
        <v>383</v>
      </c>
      <c r="D65" s="4" t="s">
        <v>384</v>
      </c>
      <c r="E65" s="4" t="s">
        <v>26</v>
      </c>
      <c r="F65" s="11" t="s">
        <v>141</v>
      </c>
      <c r="G65" s="9" t="n">
        <v>75</v>
      </c>
      <c r="H65" s="9" t="n">
        <v>75</v>
      </c>
      <c r="I65" s="12" t="n">
        <f aca="false">H65-G65+1</f>
        <v>1</v>
      </c>
      <c r="J65" s="4" t="s">
        <v>373</v>
      </c>
      <c r="K65" s="4" t="s">
        <v>376</v>
      </c>
      <c r="L65" s="4" t="s">
        <v>385</v>
      </c>
      <c r="M65" s="10" t="str">
        <f aca="false">IF(AND($G65&lt;=M$5,$H65&gt;=M$4),"■","")</f>
        <v/>
      </c>
      <c r="N65" s="10" t="str">
        <f aca="false">IF(AND($G65&lt;=N$5,$H65&gt;=N$4),"■","")</f>
        <v/>
      </c>
      <c r="O65" s="10" t="str">
        <f aca="false">IF(AND($G65&lt;=O$5,$H65&gt;=O$4),"■","")</f>
        <v/>
      </c>
      <c r="P65" s="10" t="str">
        <f aca="false">IF(AND($G65&lt;=P$5,$H65&gt;=P$4),"■","")</f>
        <v/>
      </c>
      <c r="Q65" s="10" t="str">
        <f aca="false">IF(AND($G65&lt;=Q$5,$H65&gt;=Q$4),"■","")</f>
        <v/>
      </c>
      <c r="R65" s="10" t="str">
        <f aca="false">IF(AND($G65&lt;=R$5,$H65&gt;=R$4),"■","")</f>
        <v/>
      </c>
      <c r="S65" s="10" t="str">
        <f aca="false">IF(AND($G65&lt;=S$5,$H65&gt;=S$4),"■","")</f>
        <v/>
      </c>
      <c r="T65" s="10" t="str">
        <f aca="false">IF(AND($G65&lt;=T$5,$H65&gt;=T$4),"■","")</f>
        <v/>
      </c>
      <c r="U65" s="10" t="str">
        <f aca="false">IF(AND($G65&lt;=U$5,$H65&gt;=U$4),"■","")</f>
        <v/>
      </c>
      <c r="V65" s="10" t="str">
        <f aca="false">IF(AND($G65&lt;=V$5,$H65&gt;=V$4),"■","")</f>
        <v/>
      </c>
      <c r="W65" s="10" t="str">
        <f aca="false">IF(AND($G65&lt;=W$5,$H65&gt;=W$4),"■","")</f>
        <v/>
      </c>
      <c r="X65" s="10" t="str">
        <f aca="false">IF(AND($G65&lt;=X$5,$H65&gt;=X$4),"■","")</f>
        <v>■</v>
      </c>
      <c r="Y65" s="10" t="str">
        <f aca="false">IF(AND($G65&lt;=Y$5,$H65&gt;=Y$4),"■","")</f>
        <v/>
      </c>
      <c r="Z65" s="10" t="str">
        <f aca="false">IF(AND($G65&lt;=Z$5,$H65&gt;=Z$4),"■","")</f>
        <v/>
      </c>
      <c r="AA65" s="10" t="str">
        <f aca="false">IF(AND($G65&lt;=AA$5,$H65&gt;=AA$4),"■","")</f>
        <v/>
      </c>
    </row>
    <row r="66" customFormat="false" ht="23.85" hidden="false" customHeight="false" outlineLevel="0" collapsed="false">
      <c r="A66" s="4" t="s">
        <v>386</v>
      </c>
      <c r="B66" s="4" t="s">
        <v>387</v>
      </c>
      <c r="C66" s="4" t="s">
        <v>388</v>
      </c>
      <c r="D66" s="4" t="s">
        <v>389</v>
      </c>
      <c r="E66" s="4" t="s">
        <v>26</v>
      </c>
      <c r="F66" s="11" t="s">
        <v>155</v>
      </c>
      <c r="G66" s="9" t="n">
        <v>7</v>
      </c>
      <c r="H66" s="9" t="n">
        <v>90</v>
      </c>
      <c r="I66" s="12" t="n">
        <f aca="false">H66-G66+1</f>
        <v>84</v>
      </c>
      <c r="J66" s="4" t="s">
        <v>217</v>
      </c>
      <c r="K66" s="4" t="s">
        <v>220</v>
      </c>
      <c r="L66" s="4"/>
      <c r="M66" s="10" t="str">
        <f aca="false">IF(AND($G66&lt;=M$5,$H66&gt;=M$4),"■","")</f>
        <v/>
      </c>
      <c r="N66" s="10" t="str">
        <f aca="false">IF(AND($G66&lt;=N$5,$H66&gt;=N$4),"■","")</f>
        <v/>
      </c>
      <c r="O66" s="10" t="str">
        <f aca="false">IF(AND($G66&lt;=O$5,$H66&gt;=O$4),"■","")</f>
        <v>■</v>
      </c>
      <c r="P66" s="10" t="str">
        <f aca="false">IF(AND($G66&lt;=P$5,$H66&gt;=P$4),"■","")</f>
        <v>■</v>
      </c>
      <c r="Q66" s="10" t="str">
        <f aca="false">IF(AND($G66&lt;=Q$5,$H66&gt;=Q$4),"■","")</f>
        <v>■</v>
      </c>
      <c r="R66" s="10" t="str">
        <f aca="false">IF(AND($G66&lt;=R$5,$H66&gt;=R$4),"■","")</f>
        <v>■</v>
      </c>
      <c r="S66" s="10" t="str">
        <f aca="false">IF(AND($G66&lt;=S$5,$H66&gt;=S$4),"■","")</f>
        <v>■</v>
      </c>
      <c r="T66" s="10" t="str">
        <f aca="false">IF(AND($G66&lt;=T$5,$H66&gt;=T$4),"■","")</f>
        <v>■</v>
      </c>
      <c r="U66" s="10" t="str">
        <f aca="false">IF(AND($G66&lt;=U$5,$H66&gt;=U$4),"■","")</f>
        <v>■</v>
      </c>
      <c r="V66" s="10" t="str">
        <f aca="false">IF(AND($G66&lt;=V$5,$H66&gt;=V$4),"■","")</f>
        <v>■</v>
      </c>
      <c r="W66" s="10" t="str">
        <f aca="false">IF(AND($G66&lt;=W$5,$H66&gt;=W$4),"■","")</f>
        <v>■</v>
      </c>
      <c r="X66" s="10" t="str">
        <f aca="false">IF(AND($G66&lt;=X$5,$H66&gt;=X$4),"■","")</f>
        <v>■</v>
      </c>
      <c r="Y66" s="10" t="str">
        <f aca="false">IF(AND($G66&lt;=Y$5,$H66&gt;=Y$4),"■","")</f>
        <v>■</v>
      </c>
      <c r="Z66" s="10" t="str">
        <f aca="false">IF(AND($G66&lt;=Z$5,$H66&gt;=Z$4),"■","")</f>
        <v>■</v>
      </c>
      <c r="AA66" s="10" t="str">
        <f aca="false">IF(AND($G66&lt;=AA$5,$H66&gt;=AA$4),"■","")</f>
        <v/>
      </c>
    </row>
    <row r="67" customFormat="false" ht="23.85" hidden="false" customHeight="false" outlineLevel="0" collapsed="false">
      <c r="A67" s="4" t="s">
        <v>390</v>
      </c>
      <c r="B67" s="4" t="s">
        <v>387</v>
      </c>
      <c r="C67" s="4" t="s">
        <v>391</v>
      </c>
      <c r="D67" s="4" t="s">
        <v>392</v>
      </c>
      <c r="E67" s="4" t="s">
        <v>26</v>
      </c>
      <c r="F67" s="11" t="s">
        <v>155</v>
      </c>
      <c r="G67" s="9" t="n">
        <v>7</v>
      </c>
      <c r="H67" s="9" t="n">
        <v>90</v>
      </c>
      <c r="I67" s="12" t="n">
        <f aca="false">H67-G67+1</f>
        <v>84</v>
      </c>
      <c r="J67" s="4" t="s">
        <v>309</v>
      </c>
      <c r="K67" s="4" t="s">
        <v>393</v>
      </c>
      <c r="L67" s="4" t="s">
        <v>394</v>
      </c>
      <c r="M67" s="10" t="str">
        <f aca="false">IF(AND($G67&lt;=M$5,$H67&gt;=M$4),"■","")</f>
        <v/>
      </c>
      <c r="N67" s="10" t="str">
        <f aca="false">IF(AND($G67&lt;=N$5,$H67&gt;=N$4),"■","")</f>
        <v/>
      </c>
      <c r="O67" s="10" t="str">
        <f aca="false">IF(AND($G67&lt;=O$5,$H67&gt;=O$4),"■","")</f>
        <v>■</v>
      </c>
      <c r="P67" s="10" t="str">
        <f aca="false">IF(AND($G67&lt;=P$5,$H67&gt;=P$4),"■","")</f>
        <v>■</v>
      </c>
      <c r="Q67" s="10" t="str">
        <f aca="false">IF(AND($G67&lt;=Q$5,$H67&gt;=Q$4),"■","")</f>
        <v>■</v>
      </c>
      <c r="R67" s="10" t="str">
        <f aca="false">IF(AND($G67&lt;=R$5,$H67&gt;=R$4),"■","")</f>
        <v>■</v>
      </c>
      <c r="S67" s="10" t="str">
        <f aca="false">IF(AND($G67&lt;=S$5,$H67&gt;=S$4),"■","")</f>
        <v>■</v>
      </c>
      <c r="T67" s="10" t="str">
        <f aca="false">IF(AND($G67&lt;=T$5,$H67&gt;=T$4),"■","")</f>
        <v>■</v>
      </c>
      <c r="U67" s="10" t="str">
        <f aca="false">IF(AND($G67&lt;=U$5,$H67&gt;=U$4),"■","")</f>
        <v>■</v>
      </c>
      <c r="V67" s="10" t="str">
        <f aca="false">IF(AND($G67&lt;=V$5,$H67&gt;=V$4),"■","")</f>
        <v>■</v>
      </c>
      <c r="W67" s="10" t="str">
        <f aca="false">IF(AND($G67&lt;=W$5,$H67&gt;=W$4),"■","")</f>
        <v>■</v>
      </c>
      <c r="X67" s="10" t="str">
        <f aca="false">IF(AND($G67&lt;=X$5,$H67&gt;=X$4),"■","")</f>
        <v>■</v>
      </c>
      <c r="Y67" s="10" t="str">
        <f aca="false">IF(AND($G67&lt;=Y$5,$H67&gt;=Y$4),"■","")</f>
        <v>■</v>
      </c>
      <c r="Z67" s="10" t="str">
        <f aca="false">IF(AND($G67&lt;=Z$5,$H67&gt;=Z$4),"■","")</f>
        <v>■</v>
      </c>
      <c r="AA67" s="10" t="str">
        <f aca="false">IF(AND($G67&lt;=AA$5,$H67&gt;=AA$4),"■","")</f>
        <v/>
      </c>
    </row>
    <row r="68" customFormat="false" ht="23.85" hidden="false" customHeight="false" outlineLevel="0" collapsed="false">
      <c r="A68" s="4" t="s">
        <v>395</v>
      </c>
      <c r="B68" s="4" t="s">
        <v>387</v>
      </c>
      <c r="C68" s="4" t="s">
        <v>396</v>
      </c>
      <c r="D68" s="4" t="s">
        <v>397</v>
      </c>
      <c r="E68" s="4" t="s">
        <v>26</v>
      </c>
      <c r="F68" s="11" t="s">
        <v>155</v>
      </c>
      <c r="G68" s="9" t="n">
        <v>7</v>
      </c>
      <c r="H68" s="9" t="n">
        <v>90</v>
      </c>
      <c r="I68" s="12" t="n">
        <f aca="false">H68-G68+1</f>
        <v>84</v>
      </c>
      <c r="J68" s="4"/>
      <c r="K68" s="4" t="s">
        <v>398</v>
      </c>
      <c r="L68" s="4" t="s">
        <v>399</v>
      </c>
      <c r="M68" s="10" t="str">
        <f aca="false">IF(AND($G68&lt;=M$5,$H68&gt;=M$4),"■","")</f>
        <v/>
      </c>
      <c r="N68" s="10" t="str">
        <f aca="false">IF(AND($G68&lt;=N$5,$H68&gt;=N$4),"■","")</f>
        <v/>
      </c>
      <c r="O68" s="10" t="str">
        <f aca="false">IF(AND($G68&lt;=O$5,$H68&gt;=O$4),"■","")</f>
        <v>■</v>
      </c>
      <c r="P68" s="10" t="str">
        <f aca="false">IF(AND($G68&lt;=P$5,$H68&gt;=P$4),"■","")</f>
        <v>■</v>
      </c>
      <c r="Q68" s="10" t="str">
        <f aca="false">IF(AND($G68&lt;=Q$5,$H68&gt;=Q$4),"■","")</f>
        <v>■</v>
      </c>
      <c r="R68" s="10" t="str">
        <f aca="false">IF(AND($G68&lt;=R$5,$H68&gt;=R$4),"■","")</f>
        <v>■</v>
      </c>
      <c r="S68" s="10" t="str">
        <f aca="false">IF(AND($G68&lt;=S$5,$H68&gt;=S$4),"■","")</f>
        <v>■</v>
      </c>
      <c r="T68" s="10" t="str">
        <f aca="false">IF(AND($G68&lt;=T$5,$H68&gt;=T$4),"■","")</f>
        <v>■</v>
      </c>
      <c r="U68" s="10" t="str">
        <f aca="false">IF(AND($G68&lt;=U$5,$H68&gt;=U$4),"■","")</f>
        <v>■</v>
      </c>
      <c r="V68" s="10" t="str">
        <f aca="false">IF(AND($G68&lt;=V$5,$H68&gt;=V$4),"■","")</f>
        <v>■</v>
      </c>
      <c r="W68" s="10" t="str">
        <f aca="false">IF(AND($G68&lt;=W$5,$H68&gt;=W$4),"■","")</f>
        <v>■</v>
      </c>
      <c r="X68" s="10" t="str">
        <f aca="false">IF(AND($G68&lt;=X$5,$H68&gt;=X$4),"■","")</f>
        <v>■</v>
      </c>
      <c r="Y68" s="10" t="str">
        <f aca="false">IF(AND($G68&lt;=Y$5,$H68&gt;=Y$4),"■","")</f>
        <v>■</v>
      </c>
      <c r="Z68" s="10" t="str">
        <f aca="false">IF(AND($G68&lt;=Z$5,$H68&gt;=Z$4),"■","")</f>
        <v>■</v>
      </c>
      <c r="AA68" s="10" t="str">
        <f aca="false">IF(AND($G68&lt;=AA$5,$H68&gt;=AA$4),"■","")</f>
        <v/>
      </c>
    </row>
    <row r="69" customFormat="false" ht="23.85" hidden="false" customHeight="false" outlineLevel="0" collapsed="false">
      <c r="A69" s="4" t="s">
        <v>400</v>
      </c>
      <c r="B69" s="4" t="s">
        <v>387</v>
      </c>
      <c r="C69" s="4" t="s">
        <v>401</v>
      </c>
      <c r="D69" s="4" t="s">
        <v>402</v>
      </c>
      <c r="E69" s="4" t="s">
        <v>26</v>
      </c>
      <c r="F69" s="11" t="s">
        <v>141</v>
      </c>
      <c r="G69" s="9" t="n">
        <v>7</v>
      </c>
      <c r="H69" s="9" t="n">
        <v>90</v>
      </c>
      <c r="I69" s="12" t="n">
        <f aca="false">H69-G69+1</f>
        <v>84</v>
      </c>
      <c r="J69" s="4"/>
      <c r="K69" s="4" t="s">
        <v>403</v>
      </c>
      <c r="L69" s="4"/>
      <c r="M69" s="10" t="str">
        <f aca="false">IF(AND($G69&lt;=M$5,$H69&gt;=M$4),"■","")</f>
        <v/>
      </c>
      <c r="N69" s="10" t="str">
        <f aca="false">IF(AND($G69&lt;=N$5,$H69&gt;=N$4),"■","")</f>
        <v/>
      </c>
      <c r="O69" s="10" t="str">
        <f aca="false">IF(AND($G69&lt;=O$5,$H69&gt;=O$4),"■","")</f>
        <v>■</v>
      </c>
      <c r="P69" s="10" t="str">
        <f aca="false">IF(AND($G69&lt;=P$5,$H69&gt;=P$4),"■","")</f>
        <v>■</v>
      </c>
      <c r="Q69" s="10" t="str">
        <f aca="false">IF(AND($G69&lt;=Q$5,$H69&gt;=Q$4),"■","")</f>
        <v>■</v>
      </c>
      <c r="R69" s="10" t="str">
        <f aca="false">IF(AND($G69&lt;=R$5,$H69&gt;=R$4),"■","")</f>
        <v>■</v>
      </c>
      <c r="S69" s="10" t="str">
        <f aca="false">IF(AND($G69&lt;=S$5,$H69&gt;=S$4),"■","")</f>
        <v>■</v>
      </c>
      <c r="T69" s="10" t="str">
        <f aca="false">IF(AND($G69&lt;=T$5,$H69&gt;=T$4),"■","")</f>
        <v>■</v>
      </c>
      <c r="U69" s="10" t="str">
        <f aca="false">IF(AND($G69&lt;=U$5,$H69&gt;=U$4),"■","")</f>
        <v>■</v>
      </c>
      <c r="V69" s="10" t="str">
        <f aca="false">IF(AND($G69&lt;=V$5,$H69&gt;=V$4),"■","")</f>
        <v>■</v>
      </c>
      <c r="W69" s="10" t="str">
        <f aca="false">IF(AND($G69&lt;=W$5,$H69&gt;=W$4),"■","")</f>
        <v>■</v>
      </c>
      <c r="X69" s="10" t="str">
        <f aca="false">IF(AND($G69&lt;=X$5,$H69&gt;=X$4),"■","")</f>
        <v>■</v>
      </c>
      <c r="Y69" s="10" t="str">
        <f aca="false">IF(AND($G69&lt;=Y$5,$H69&gt;=Y$4),"■","")</f>
        <v>■</v>
      </c>
      <c r="Z69" s="10" t="str">
        <f aca="false">IF(AND($G69&lt;=Z$5,$H69&gt;=Z$4),"■","")</f>
        <v>■</v>
      </c>
      <c r="AA69" s="10" t="str">
        <f aca="false">IF(AND($G69&lt;=AA$5,$H69&gt;=AA$4),"■","")</f>
        <v/>
      </c>
    </row>
    <row r="70" customFormat="false" ht="23.85" hidden="false" customHeight="false" outlineLevel="0" collapsed="false">
      <c r="A70" s="4" t="s">
        <v>404</v>
      </c>
      <c r="B70" s="4" t="s">
        <v>387</v>
      </c>
      <c r="C70" s="4" t="s">
        <v>405</v>
      </c>
      <c r="D70" s="4" t="s">
        <v>406</v>
      </c>
      <c r="E70" s="4" t="s">
        <v>26</v>
      </c>
      <c r="F70" s="11" t="s">
        <v>141</v>
      </c>
      <c r="G70" s="9" t="n">
        <v>7</v>
      </c>
      <c r="H70" s="9" t="n">
        <v>90</v>
      </c>
      <c r="I70" s="12" t="n">
        <f aca="false">H70-G70+1</f>
        <v>84</v>
      </c>
      <c r="J70" s="4"/>
      <c r="K70" s="4" t="s">
        <v>407</v>
      </c>
      <c r="L70" s="4"/>
      <c r="M70" s="10" t="str">
        <f aca="false">IF(AND($G70&lt;=M$5,$H70&gt;=M$4),"■","")</f>
        <v/>
      </c>
      <c r="N70" s="10" t="str">
        <f aca="false">IF(AND($G70&lt;=N$5,$H70&gt;=N$4),"■","")</f>
        <v/>
      </c>
      <c r="O70" s="10" t="str">
        <f aca="false">IF(AND($G70&lt;=O$5,$H70&gt;=O$4),"■","")</f>
        <v>■</v>
      </c>
      <c r="P70" s="10" t="str">
        <f aca="false">IF(AND($G70&lt;=P$5,$H70&gt;=P$4),"■","")</f>
        <v>■</v>
      </c>
      <c r="Q70" s="10" t="str">
        <f aca="false">IF(AND($G70&lt;=Q$5,$H70&gt;=Q$4),"■","")</f>
        <v>■</v>
      </c>
      <c r="R70" s="10" t="str">
        <f aca="false">IF(AND($G70&lt;=R$5,$H70&gt;=R$4),"■","")</f>
        <v>■</v>
      </c>
      <c r="S70" s="10" t="str">
        <f aca="false">IF(AND($G70&lt;=S$5,$H70&gt;=S$4),"■","")</f>
        <v>■</v>
      </c>
      <c r="T70" s="10" t="str">
        <f aca="false">IF(AND($G70&lt;=T$5,$H70&gt;=T$4),"■","")</f>
        <v>■</v>
      </c>
      <c r="U70" s="10" t="str">
        <f aca="false">IF(AND($G70&lt;=U$5,$H70&gt;=U$4),"■","")</f>
        <v>■</v>
      </c>
      <c r="V70" s="10" t="str">
        <f aca="false">IF(AND($G70&lt;=V$5,$H70&gt;=V$4),"■","")</f>
        <v>■</v>
      </c>
      <c r="W70" s="10" t="str">
        <f aca="false">IF(AND($G70&lt;=W$5,$H70&gt;=W$4),"■","")</f>
        <v>■</v>
      </c>
      <c r="X70" s="10" t="str">
        <f aca="false">IF(AND($G70&lt;=X$5,$H70&gt;=X$4),"■","")</f>
        <v>■</v>
      </c>
      <c r="Y70" s="10" t="str">
        <f aca="false">IF(AND($G70&lt;=Y$5,$H70&gt;=Y$4),"■","")</f>
        <v>■</v>
      </c>
      <c r="Z70" s="10" t="str">
        <f aca="false">IF(AND($G70&lt;=Z$5,$H70&gt;=Z$4),"■","")</f>
        <v>■</v>
      </c>
      <c r="AA70" s="10" t="str">
        <f aca="false">IF(AND($G70&lt;=AA$5,$H70&gt;=AA$4),"■","")</f>
        <v/>
      </c>
    </row>
    <row r="71" customFormat="false" ht="23.85" hidden="false" customHeight="false" outlineLevel="0" collapsed="false">
      <c r="A71" s="4" t="s">
        <v>408</v>
      </c>
      <c r="B71" s="4" t="s">
        <v>387</v>
      </c>
      <c r="C71" s="4" t="s">
        <v>409</v>
      </c>
      <c r="D71" s="4" t="s">
        <v>410</v>
      </c>
      <c r="E71" s="4" t="s">
        <v>26</v>
      </c>
      <c r="F71" s="11" t="s">
        <v>141</v>
      </c>
      <c r="G71" s="9" t="n">
        <v>7</v>
      </c>
      <c r="H71" s="9" t="n">
        <v>90</v>
      </c>
      <c r="I71" s="12" t="n">
        <f aca="false">H71-G71+1</f>
        <v>84</v>
      </c>
      <c r="J71" s="4"/>
      <c r="K71" s="4" t="s">
        <v>376</v>
      </c>
      <c r="L71" s="4" t="s">
        <v>411</v>
      </c>
      <c r="M71" s="10" t="str">
        <f aca="false">IF(AND($G71&lt;=M$5,$H71&gt;=M$4),"■","")</f>
        <v/>
      </c>
      <c r="N71" s="10" t="str">
        <f aca="false">IF(AND($G71&lt;=N$5,$H71&gt;=N$4),"■","")</f>
        <v/>
      </c>
      <c r="O71" s="10" t="str">
        <f aca="false">IF(AND($G71&lt;=O$5,$H71&gt;=O$4),"■","")</f>
        <v>■</v>
      </c>
      <c r="P71" s="10" t="str">
        <f aca="false">IF(AND($G71&lt;=P$5,$H71&gt;=P$4),"■","")</f>
        <v>■</v>
      </c>
      <c r="Q71" s="10" t="str">
        <f aca="false">IF(AND($G71&lt;=Q$5,$H71&gt;=Q$4),"■","")</f>
        <v>■</v>
      </c>
      <c r="R71" s="10" t="str">
        <f aca="false">IF(AND($G71&lt;=R$5,$H71&gt;=R$4),"■","")</f>
        <v>■</v>
      </c>
      <c r="S71" s="10" t="str">
        <f aca="false">IF(AND($G71&lt;=S$5,$H71&gt;=S$4),"■","")</f>
        <v>■</v>
      </c>
      <c r="T71" s="10" t="str">
        <f aca="false">IF(AND($G71&lt;=T$5,$H71&gt;=T$4),"■","")</f>
        <v>■</v>
      </c>
      <c r="U71" s="10" t="str">
        <f aca="false">IF(AND($G71&lt;=U$5,$H71&gt;=U$4),"■","")</f>
        <v>■</v>
      </c>
      <c r="V71" s="10" t="str">
        <f aca="false">IF(AND($G71&lt;=V$5,$H71&gt;=V$4),"■","")</f>
        <v>■</v>
      </c>
      <c r="W71" s="10" t="str">
        <f aca="false">IF(AND($G71&lt;=W$5,$H71&gt;=W$4),"■","")</f>
        <v>■</v>
      </c>
      <c r="X71" s="10" t="str">
        <f aca="false">IF(AND($G71&lt;=X$5,$H71&gt;=X$4),"■","")</f>
        <v>■</v>
      </c>
      <c r="Y71" s="10" t="str">
        <f aca="false">IF(AND($G71&lt;=Y$5,$H71&gt;=Y$4),"■","")</f>
        <v>■</v>
      </c>
      <c r="Z71" s="10" t="str">
        <f aca="false">IF(AND($G71&lt;=Z$5,$H71&gt;=Z$4),"■","")</f>
        <v>■</v>
      </c>
      <c r="AA71" s="10" t="str">
        <f aca="false">IF(AND($G71&lt;=AA$5,$H71&gt;=AA$4),"■","")</f>
        <v/>
      </c>
    </row>
    <row r="72" customFormat="false" ht="23.85" hidden="false" customHeight="false" outlineLevel="0" collapsed="false">
      <c r="A72" s="4" t="s">
        <v>412</v>
      </c>
      <c r="B72" s="4" t="s">
        <v>387</v>
      </c>
      <c r="C72" s="4" t="s">
        <v>413</v>
      </c>
      <c r="D72" s="4" t="s">
        <v>414</v>
      </c>
      <c r="E72" s="4" t="s">
        <v>26</v>
      </c>
      <c r="F72" s="11" t="s">
        <v>155</v>
      </c>
      <c r="G72" s="9" t="n">
        <v>30</v>
      </c>
      <c r="H72" s="9" t="n">
        <v>60</v>
      </c>
      <c r="I72" s="12" t="n">
        <f aca="false">H72-G72+1</f>
        <v>31</v>
      </c>
      <c r="J72" s="4" t="s">
        <v>274</v>
      </c>
      <c r="K72" s="4" t="s">
        <v>228</v>
      </c>
      <c r="L72" s="4"/>
      <c r="M72" s="10" t="str">
        <f aca="false">IF(AND($G72&lt;=M$5,$H72&gt;=M$4),"■","")</f>
        <v/>
      </c>
      <c r="N72" s="10" t="str">
        <f aca="false">IF(AND($G72&lt;=N$5,$H72&gt;=N$4),"■","")</f>
        <v/>
      </c>
      <c r="O72" s="10" t="str">
        <f aca="false">IF(AND($G72&lt;=O$5,$H72&gt;=O$4),"■","")</f>
        <v/>
      </c>
      <c r="P72" s="10" t="str">
        <f aca="false">IF(AND($G72&lt;=P$5,$H72&gt;=P$4),"■","")</f>
        <v/>
      </c>
      <c r="Q72" s="10" t="str">
        <f aca="false">IF(AND($G72&lt;=Q$5,$H72&gt;=Q$4),"■","")</f>
        <v/>
      </c>
      <c r="R72" s="10" t="str">
        <f aca="false">IF(AND($G72&lt;=R$5,$H72&gt;=R$4),"■","")</f>
        <v>■</v>
      </c>
      <c r="S72" s="10" t="str">
        <f aca="false">IF(AND($G72&lt;=S$5,$H72&gt;=S$4),"■","")</f>
        <v>■</v>
      </c>
      <c r="T72" s="10" t="str">
        <f aca="false">IF(AND($G72&lt;=T$5,$H72&gt;=T$4),"■","")</f>
        <v>■</v>
      </c>
      <c r="U72" s="10" t="str">
        <f aca="false">IF(AND($G72&lt;=U$5,$H72&gt;=U$4),"■","")</f>
        <v>■</v>
      </c>
      <c r="V72" s="10" t="str">
        <f aca="false">IF(AND($G72&lt;=V$5,$H72&gt;=V$4),"■","")</f>
        <v>■</v>
      </c>
      <c r="W72" s="10" t="str">
        <f aca="false">IF(AND($G72&lt;=W$5,$H72&gt;=W$4),"■","")</f>
        <v/>
      </c>
      <c r="X72" s="10" t="str">
        <f aca="false">IF(AND($G72&lt;=X$5,$H72&gt;=X$4),"■","")</f>
        <v/>
      </c>
      <c r="Y72" s="10" t="str">
        <f aca="false">IF(AND($G72&lt;=Y$5,$H72&gt;=Y$4),"■","")</f>
        <v/>
      </c>
      <c r="Z72" s="10" t="str">
        <f aca="false">IF(AND($G72&lt;=Z$5,$H72&gt;=Z$4),"■","")</f>
        <v/>
      </c>
      <c r="AA72" s="10" t="str">
        <f aca="false">IF(AND($G72&lt;=AA$5,$H72&gt;=AA$4),"■","")</f>
        <v/>
      </c>
    </row>
    <row r="73" customFormat="false" ht="23.85" hidden="false" customHeight="false" outlineLevel="0" collapsed="false">
      <c r="A73" s="4" t="s">
        <v>415</v>
      </c>
      <c r="B73" s="4" t="s">
        <v>387</v>
      </c>
      <c r="C73" s="4" t="s">
        <v>416</v>
      </c>
      <c r="D73" s="4" t="s">
        <v>417</v>
      </c>
      <c r="E73" s="4" t="s">
        <v>24</v>
      </c>
      <c r="F73" s="11" t="s">
        <v>141</v>
      </c>
      <c r="G73" s="9" t="n">
        <v>7</v>
      </c>
      <c r="H73" s="9" t="n">
        <v>90</v>
      </c>
      <c r="I73" s="12" t="n">
        <f aca="false">H73-G73+1</f>
        <v>84</v>
      </c>
      <c r="J73" s="4"/>
      <c r="K73" s="4" t="s">
        <v>418</v>
      </c>
      <c r="L73" s="4"/>
      <c r="M73" s="10" t="str">
        <f aca="false">IF(AND($G73&lt;=M$5,$H73&gt;=M$4),"■","")</f>
        <v/>
      </c>
      <c r="N73" s="10" t="str">
        <f aca="false">IF(AND($G73&lt;=N$5,$H73&gt;=N$4),"■","")</f>
        <v/>
      </c>
      <c r="O73" s="10" t="str">
        <f aca="false">IF(AND($G73&lt;=O$5,$H73&gt;=O$4),"■","")</f>
        <v>■</v>
      </c>
      <c r="P73" s="10" t="str">
        <f aca="false">IF(AND($G73&lt;=P$5,$H73&gt;=P$4),"■","")</f>
        <v>■</v>
      </c>
      <c r="Q73" s="10" t="str">
        <f aca="false">IF(AND($G73&lt;=Q$5,$H73&gt;=Q$4),"■","")</f>
        <v>■</v>
      </c>
      <c r="R73" s="10" t="str">
        <f aca="false">IF(AND($G73&lt;=R$5,$H73&gt;=R$4),"■","")</f>
        <v>■</v>
      </c>
      <c r="S73" s="10" t="str">
        <f aca="false">IF(AND($G73&lt;=S$5,$H73&gt;=S$4),"■","")</f>
        <v>■</v>
      </c>
      <c r="T73" s="10" t="str">
        <f aca="false">IF(AND($G73&lt;=T$5,$H73&gt;=T$4),"■","")</f>
        <v>■</v>
      </c>
      <c r="U73" s="10" t="str">
        <f aca="false">IF(AND($G73&lt;=U$5,$H73&gt;=U$4),"■","")</f>
        <v>■</v>
      </c>
      <c r="V73" s="10" t="str">
        <f aca="false">IF(AND($G73&lt;=V$5,$H73&gt;=V$4),"■","")</f>
        <v>■</v>
      </c>
      <c r="W73" s="10" t="str">
        <f aca="false">IF(AND($G73&lt;=W$5,$H73&gt;=W$4),"■","")</f>
        <v>■</v>
      </c>
      <c r="X73" s="10" t="str">
        <f aca="false">IF(AND($G73&lt;=X$5,$H73&gt;=X$4),"■","")</f>
        <v>■</v>
      </c>
      <c r="Y73" s="10" t="str">
        <f aca="false">IF(AND($G73&lt;=Y$5,$H73&gt;=Y$4),"■","")</f>
        <v>■</v>
      </c>
      <c r="Z73" s="10" t="str">
        <f aca="false">IF(AND($G73&lt;=Z$5,$H73&gt;=Z$4),"■","")</f>
        <v>■</v>
      </c>
      <c r="AA73" s="10" t="str">
        <f aca="false">IF(AND($G73&lt;=AA$5,$H73&gt;=AA$4),"■","")</f>
        <v/>
      </c>
    </row>
    <row r="74" customFormat="false" ht="23.85" hidden="false" customHeight="false" outlineLevel="0" collapsed="false">
      <c r="A74" s="4" t="s">
        <v>419</v>
      </c>
      <c r="B74" s="4" t="s">
        <v>420</v>
      </c>
      <c r="C74" s="4" t="s">
        <v>421</v>
      </c>
      <c r="D74" s="4" t="s">
        <v>422</v>
      </c>
      <c r="E74" s="4" t="s">
        <v>24</v>
      </c>
      <c r="F74" s="11" t="s">
        <v>141</v>
      </c>
      <c r="G74" s="9" t="n">
        <v>55</v>
      </c>
      <c r="H74" s="9" t="n">
        <v>60</v>
      </c>
      <c r="I74" s="12" t="n">
        <f aca="false">H74-G74+1</f>
        <v>6</v>
      </c>
      <c r="J74" s="4" t="s">
        <v>400</v>
      </c>
      <c r="K74" s="4" t="s">
        <v>255</v>
      </c>
      <c r="L74" s="4" t="s">
        <v>423</v>
      </c>
      <c r="M74" s="10" t="str">
        <f aca="false">IF(AND($G74&lt;=M$5,$H74&gt;=M$4),"■","")</f>
        <v/>
      </c>
      <c r="N74" s="10" t="str">
        <f aca="false">IF(AND($G74&lt;=N$5,$H74&gt;=N$4),"■","")</f>
        <v/>
      </c>
      <c r="O74" s="10" t="str">
        <f aca="false">IF(AND($G74&lt;=O$5,$H74&gt;=O$4),"■","")</f>
        <v/>
      </c>
      <c r="P74" s="10" t="str">
        <f aca="false">IF(AND($G74&lt;=P$5,$H74&gt;=P$4),"■","")</f>
        <v/>
      </c>
      <c r="Q74" s="10" t="str">
        <f aca="false">IF(AND($G74&lt;=Q$5,$H74&gt;=Q$4),"■","")</f>
        <v/>
      </c>
      <c r="R74" s="10" t="str">
        <f aca="false">IF(AND($G74&lt;=R$5,$H74&gt;=R$4),"■","")</f>
        <v/>
      </c>
      <c r="S74" s="10" t="str">
        <f aca="false">IF(AND($G74&lt;=S$5,$H74&gt;=S$4),"■","")</f>
        <v/>
      </c>
      <c r="T74" s="10" t="str">
        <f aca="false">IF(AND($G74&lt;=T$5,$H74&gt;=T$4),"■","")</f>
        <v/>
      </c>
      <c r="U74" s="10" t="str">
        <f aca="false">IF(AND($G74&lt;=U$5,$H74&gt;=U$4),"■","")</f>
        <v>■</v>
      </c>
      <c r="V74" s="10" t="str">
        <f aca="false">IF(AND($G74&lt;=V$5,$H74&gt;=V$4),"■","")</f>
        <v>■</v>
      </c>
      <c r="W74" s="10" t="str">
        <f aca="false">IF(AND($G74&lt;=W$5,$H74&gt;=W$4),"■","")</f>
        <v/>
      </c>
      <c r="X74" s="10" t="str">
        <f aca="false">IF(AND($G74&lt;=X$5,$H74&gt;=X$4),"■","")</f>
        <v/>
      </c>
      <c r="Y74" s="10" t="str">
        <f aca="false">IF(AND($G74&lt;=Y$5,$H74&gt;=Y$4),"■","")</f>
        <v/>
      </c>
      <c r="Z74" s="10" t="str">
        <f aca="false">IF(AND($G74&lt;=Z$5,$H74&gt;=Z$4),"■","")</f>
        <v/>
      </c>
      <c r="AA74" s="10" t="str">
        <f aca="false">IF(AND($G74&lt;=AA$5,$H74&gt;=AA$4),"■","")</f>
        <v/>
      </c>
    </row>
    <row r="75" customFormat="false" ht="23.85" hidden="false" customHeight="false" outlineLevel="0" collapsed="false">
      <c r="A75" s="4" t="s">
        <v>424</v>
      </c>
      <c r="B75" s="4" t="s">
        <v>420</v>
      </c>
      <c r="C75" s="4" t="s">
        <v>425</v>
      </c>
      <c r="D75" s="4" t="s">
        <v>426</v>
      </c>
      <c r="E75" s="4" t="s">
        <v>24</v>
      </c>
      <c r="F75" s="11" t="s">
        <v>155</v>
      </c>
      <c r="G75" s="9" t="n">
        <v>60</v>
      </c>
      <c r="H75" s="9" t="n">
        <v>65</v>
      </c>
      <c r="I75" s="12" t="n">
        <f aca="false">H75-G75+1</f>
        <v>6</v>
      </c>
      <c r="J75" s="4" t="s">
        <v>419</v>
      </c>
      <c r="K75" s="4" t="s">
        <v>228</v>
      </c>
      <c r="L75" s="4"/>
      <c r="M75" s="10" t="str">
        <f aca="false">IF(AND($G75&lt;=M$5,$H75&gt;=M$4),"■","")</f>
        <v/>
      </c>
      <c r="N75" s="10" t="str">
        <f aca="false">IF(AND($G75&lt;=N$5,$H75&gt;=N$4),"■","")</f>
        <v/>
      </c>
      <c r="O75" s="10" t="str">
        <f aca="false">IF(AND($G75&lt;=O$5,$H75&gt;=O$4),"■","")</f>
        <v/>
      </c>
      <c r="P75" s="10" t="str">
        <f aca="false">IF(AND($G75&lt;=P$5,$H75&gt;=P$4),"■","")</f>
        <v/>
      </c>
      <c r="Q75" s="10" t="str">
        <f aca="false">IF(AND($G75&lt;=Q$5,$H75&gt;=Q$4),"■","")</f>
        <v/>
      </c>
      <c r="R75" s="10" t="str">
        <f aca="false">IF(AND($G75&lt;=R$5,$H75&gt;=R$4),"■","")</f>
        <v/>
      </c>
      <c r="S75" s="10" t="str">
        <f aca="false">IF(AND($G75&lt;=S$5,$H75&gt;=S$4),"■","")</f>
        <v/>
      </c>
      <c r="T75" s="10" t="str">
        <f aca="false">IF(AND($G75&lt;=T$5,$H75&gt;=T$4),"■","")</f>
        <v/>
      </c>
      <c r="U75" s="10" t="str">
        <f aca="false">IF(AND($G75&lt;=U$5,$H75&gt;=U$4),"■","")</f>
        <v/>
      </c>
      <c r="V75" s="10" t="str">
        <f aca="false">IF(AND($G75&lt;=V$5,$H75&gt;=V$4),"■","")</f>
        <v>■</v>
      </c>
      <c r="W75" s="10" t="str">
        <f aca="false">IF(AND($G75&lt;=W$5,$H75&gt;=W$4),"■","")</f>
        <v>■</v>
      </c>
      <c r="X75" s="10" t="str">
        <f aca="false">IF(AND($G75&lt;=X$5,$H75&gt;=X$4),"■","")</f>
        <v/>
      </c>
      <c r="Y75" s="10" t="str">
        <f aca="false">IF(AND($G75&lt;=Y$5,$H75&gt;=Y$4),"■","")</f>
        <v/>
      </c>
      <c r="Z75" s="10" t="str">
        <f aca="false">IF(AND($G75&lt;=Z$5,$H75&gt;=Z$4),"■","")</f>
        <v/>
      </c>
      <c r="AA75" s="10" t="str">
        <f aca="false">IF(AND($G75&lt;=AA$5,$H75&gt;=AA$4),"■","")</f>
        <v/>
      </c>
    </row>
    <row r="76" customFormat="false" ht="23.85" hidden="false" customHeight="false" outlineLevel="0" collapsed="false">
      <c r="A76" s="4" t="s">
        <v>427</v>
      </c>
      <c r="B76" s="4" t="s">
        <v>420</v>
      </c>
      <c r="C76" s="4" t="s">
        <v>428</v>
      </c>
      <c r="D76" s="4" t="s">
        <v>429</v>
      </c>
      <c r="E76" s="4" t="s">
        <v>24</v>
      </c>
      <c r="F76" s="11" t="s">
        <v>155</v>
      </c>
      <c r="G76" s="9" t="n">
        <v>62</v>
      </c>
      <c r="H76" s="9" t="n">
        <v>70</v>
      </c>
      <c r="I76" s="12" t="n">
        <f aca="false">H76-G76+1</f>
        <v>9</v>
      </c>
      <c r="J76" s="4" t="s">
        <v>424</v>
      </c>
      <c r="K76" s="4" t="s">
        <v>430</v>
      </c>
      <c r="L76" s="4"/>
      <c r="M76" s="10" t="str">
        <f aca="false">IF(AND($G76&lt;=M$5,$H76&gt;=M$4),"■","")</f>
        <v/>
      </c>
      <c r="N76" s="10" t="str">
        <f aca="false">IF(AND($G76&lt;=N$5,$H76&gt;=N$4),"■","")</f>
        <v/>
      </c>
      <c r="O76" s="10" t="str">
        <f aca="false">IF(AND($G76&lt;=O$5,$H76&gt;=O$4),"■","")</f>
        <v/>
      </c>
      <c r="P76" s="10" t="str">
        <f aca="false">IF(AND($G76&lt;=P$5,$H76&gt;=P$4),"■","")</f>
        <v/>
      </c>
      <c r="Q76" s="10" t="str">
        <f aca="false">IF(AND($G76&lt;=Q$5,$H76&gt;=Q$4),"■","")</f>
        <v/>
      </c>
      <c r="R76" s="10" t="str">
        <f aca="false">IF(AND($G76&lt;=R$5,$H76&gt;=R$4),"■","")</f>
        <v/>
      </c>
      <c r="S76" s="10" t="str">
        <f aca="false">IF(AND($G76&lt;=S$5,$H76&gt;=S$4),"■","")</f>
        <v/>
      </c>
      <c r="T76" s="10" t="str">
        <f aca="false">IF(AND($G76&lt;=T$5,$H76&gt;=T$4),"■","")</f>
        <v/>
      </c>
      <c r="U76" s="10" t="str">
        <f aca="false">IF(AND($G76&lt;=U$5,$H76&gt;=U$4),"■","")</f>
        <v/>
      </c>
      <c r="V76" s="10" t="str">
        <f aca="false">IF(AND($G76&lt;=V$5,$H76&gt;=V$4),"■","")</f>
        <v>■</v>
      </c>
      <c r="W76" s="10" t="str">
        <f aca="false">IF(AND($G76&lt;=W$5,$H76&gt;=W$4),"■","")</f>
        <v>■</v>
      </c>
      <c r="X76" s="10" t="str">
        <f aca="false">IF(AND($G76&lt;=X$5,$H76&gt;=X$4),"■","")</f>
        <v>■</v>
      </c>
      <c r="Y76" s="10" t="str">
        <f aca="false">IF(AND($G76&lt;=Y$5,$H76&gt;=Y$4),"■","")</f>
        <v/>
      </c>
      <c r="Z76" s="10" t="str">
        <f aca="false">IF(AND($G76&lt;=Z$5,$H76&gt;=Z$4),"■","")</f>
        <v/>
      </c>
      <c r="AA76" s="10" t="str">
        <f aca="false">IF(AND($G76&lt;=AA$5,$H76&gt;=AA$4),"■","")</f>
        <v/>
      </c>
    </row>
    <row r="77" customFormat="false" ht="23.85" hidden="false" customHeight="false" outlineLevel="0" collapsed="false">
      <c r="A77" s="4" t="s">
        <v>431</v>
      </c>
      <c r="B77" s="4" t="s">
        <v>420</v>
      </c>
      <c r="C77" s="4" t="s">
        <v>432</v>
      </c>
      <c r="D77" s="4" t="s">
        <v>433</v>
      </c>
      <c r="E77" s="4" t="s">
        <v>26</v>
      </c>
      <c r="F77" s="11" t="s">
        <v>155</v>
      </c>
      <c r="G77" s="9" t="n">
        <v>80</v>
      </c>
      <c r="H77" s="9" t="n">
        <v>88</v>
      </c>
      <c r="I77" s="12" t="n">
        <f aca="false">H77-G77+1</f>
        <v>9</v>
      </c>
      <c r="J77" s="4" t="s">
        <v>352</v>
      </c>
      <c r="K77" s="4" t="s">
        <v>434</v>
      </c>
      <c r="L77" s="4"/>
      <c r="M77" s="10" t="str">
        <f aca="false">IF(AND($G77&lt;=M$5,$H77&gt;=M$4),"■","")</f>
        <v/>
      </c>
      <c r="N77" s="10" t="str">
        <f aca="false">IF(AND($G77&lt;=N$5,$H77&gt;=N$4),"■","")</f>
        <v/>
      </c>
      <c r="O77" s="10" t="str">
        <f aca="false">IF(AND($G77&lt;=O$5,$H77&gt;=O$4),"■","")</f>
        <v/>
      </c>
      <c r="P77" s="10" t="str">
        <f aca="false">IF(AND($G77&lt;=P$5,$H77&gt;=P$4),"■","")</f>
        <v/>
      </c>
      <c r="Q77" s="10" t="str">
        <f aca="false">IF(AND($G77&lt;=Q$5,$H77&gt;=Q$4),"■","")</f>
        <v/>
      </c>
      <c r="R77" s="10" t="str">
        <f aca="false">IF(AND($G77&lt;=R$5,$H77&gt;=R$4),"■","")</f>
        <v/>
      </c>
      <c r="S77" s="10" t="str">
        <f aca="false">IF(AND($G77&lt;=S$5,$H77&gt;=S$4),"■","")</f>
        <v/>
      </c>
      <c r="T77" s="10" t="str">
        <f aca="false">IF(AND($G77&lt;=T$5,$H77&gt;=T$4),"■","")</f>
        <v/>
      </c>
      <c r="U77" s="10" t="str">
        <f aca="false">IF(AND($G77&lt;=U$5,$H77&gt;=U$4),"■","")</f>
        <v/>
      </c>
      <c r="V77" s="10" t="str">
        <f aca="false">IF(AND($G77&lt;=V$5,$H77&gt;=V$4),"■","")</f>
        <v/>
      </c>
      <c r="W77" s="10" t="str">
        <f aca="false">IF(AND($G77&lt;=W$5,$H77&gt;=W$4),"■","")</f>
        <v/>
      </c>
      <c r="X77" s="10" t="str">
        <f aca="false">IF(AND($G77&lt;=X$5,$H77&gt;=X$4),"■","")</f>
        <v/>
      </c>
      <c r="Y77" s="10" t="str">
        <f aca="false">IF(AND($G77&lt;=Y$5,$H77&gt;=Y$4),"■","")</f>
        <v>■</v>
      </c>
      <c r="Z77" s="10" t="str">
        <f aca="false">IF(AND($G77&lt;=Z$5,$H77&gt;=Z$4),"■","")</f>
        <v>■</v>
      </c>
      <c r="AA77" s="10" t="str">
        <f aca="false">IF(AND($G77&lt;=AA$5,$H77&gt;=AA$4),"■","")</f>
        <v/>
      </c>
    </row>
    <row r="78" customFormat="false" ht="23.85" hidden="false" customHeight="false" outlineLevel="0" collapsed="false">
      <c r="A78" s="4" t="s">
        <v>435</v>
      </c>
      <c r="B78" s="4" t="s">
        <v>420</v>
      </c>
      <c r="C78" s="4" t="s">
        <v>436</v>
      </c>
      <c r="D78" s="4" t="s">
        <v>437</v>
      </c>
      <c r="E78" s="4" t="s">
        <v>26</v>
      </c>
      <c r="F78" s="11" t="s">
        <v>155</v>
      </c>
      <c r="G78" s="9" t="n">
        <v>85</v>
      </c>
      <c r="H78" s="9" t="n">
        <v>90</v>
      </c>
      <c r="I78" s="12" t="n">
        <f aca="false">H78-G78+1</f>
        <v>6</v>
      </c>
      <c r="J78" s="4" t="s">
        <v>431</v>
      </c>
      <c r="K78" s="4" t="s">
        <v>438</v>
      </c>
      <c r="L78" s="4" t="s">
        <v>439</v>
      </c>
      <c r="M78" s="10" t="str">
        <f aca="false">IF(AND($G78&lt;=M$5,$H78&gt;=M$4),"■","")</f>
        <v/>
      </c>
      <c r="N78" s="10" t="str">
        <f aca="false">IF(AND($G78&lt;=N$5,$H78&gt;=N$4),"■","")</f>
        <v/>
      </c>
      <c r="O78" s="10" t="str">
        <f aca="false">IF(AND($G78&lt;=O$5,$H78&gt;=O$4),"■","")</f>
        <v/>
      </c>
      <c r="P78" s="10" t="str">
        <f aca="false">IF(AND($G78&lt;=P$5,$H78&gt;=P$4),"■","")</f>
        <v/>
      </c>
      <c r="Q78" s="10" t="str">
        <f aca="false">IF(AND($G78&lt;=Q$5,$H78&gt;=Q$4),"■","")</f>
        <v/>
      </c>
      <c r="R78" s="10" t="str">
        <f aca="false">IF(AND($G78&lt;=R$5,$H78&gt;=R$4),"■","")</f>
        <v/>
      </c>
      <c r="S78" s="10" t="str">
        <f aca="false">IF(AND($G78&lt;=S$5,$H78&gt;=S$4),"■","")</f>
        <v/>
      </c>
      <c r="T78" s="10" t="str">
        <f aca="false">IF(AND($G78&lt;=T$5,$H78&gt;=T$4),"■","")</f>
        <v/>
      </c>
      <c r="U78" s="10" t="str">
        <f aca="false">IF(AND($G78&lt;=U$5,$H78&gt;=U$4),"■","")</f>
        <v/>
      </c>
      <c r="V78" s="10" t="str">
        <f aca="false">IF(AND($G78&lt;=V$5,$H78&gt;=V$4),"■","")</f>
        <v/>
      </c>
      <c r="W78" s="10" t="str">
        <f aca="false">IF(AND($G78&lt;=W$5,$H78&gt;=W$4),"■","")</f>
        <v/>
      </c>
      <c r="X78" s="10" t="str">
        <f aca="false">IF(AND($G78&lt;=X$5,$H78&gt;=X$4),"■","")</f>
        <v/>
      </c>
      <c r="Y78" s="10" t="str">
        <f aca="false">IF(AND($G78&lt;=Y$5,$H78&gt;=Y$4),"■","")</f>
        <v/>
      </c>
      <c r="Z78" s="10" t="str">
        <f aca="false">IF(AND($G78&lt;=Z$5,$H78&gt;=Z$4),"■","")</f>
        <v>■</v>
      </c>
      <c r="AA78" s="10" t="str">
        <f aca="false">IF(AND($G78&lt;=AA$5,$H78&gt;=AA$4),"■","")</f>
        <v/>
      </c>
    </row>
    <row r="79" customFormat="false" ht="23.85" hidden="false" customHeight="false" outlineLevel="0" collapsed="false">
      <c r="A79" s="4" t="s">
        <v>440</v>
      </c>
      <c r="B79" s="4" t="s">
        <v>441</v>
      </c>
      <c r="C79" s="4" t="s">
        <v>442</v>
      </c>
      <c r="D79" s="4" t="s">
        <v>443</v>
      </c>
      <c r="E79" s="4" t="s">
        <v>32</v>
      </c>
      <c r="F79" s="11" t="s">
        <v>155</v>
      </c>
      <c r="G79" s="9" t="n">
        <v>90</v>
      </c>
      <c r="H79" s="9" t="n">
        <v>270</v>
      </c>
      <c r="I79" s="12" t="n">
        <f aca="false">H79-G79+1</f>
        <v>181</v>
      </c>
      <c r="J79" s="4" t="s">
        <v>435</v>
      </c>
      <c r="K79" s="4" t="s">
        <v>444</v>
      </c>
      <c r="L79" s="4" t="s">
        <v>445</v>
      </c>
      <c r="M79" s="10" t="str">
        <f aca="false">IF(AND($G79&lt;=M$5,$H79&gt;=M$4),"■","")</f>
        <v/>
      </c>
      <c r="N79" s="10" t="str">
        <f aca="false">IF(AND($G79&lt;=N$5,$H79&gt;=N$4),"■","")</f>
        <v/>
      </c>
      <c r="O79" s="10" t="str">
        <f aca="false">IF(AND($G79&lt;=O$5,$H79&gt;=O$4),"■","")</f>
        <v/>
      </c>
      <c r="P79" s="10" t="str">
        <f aca="false">IF(AND($G79&lt;=P$5,$H79&gt;=P$4),"■","")</f>
        <v/>
      </c>
      <c r="Q79" s="10" t="str">
        <f aca="false">IF(AND($G79&lt;=Q$5,$H79&gt;=Q$4),"■","")</f>
        <v/>
      </c>
      <c r="R79" s="10" t="str">
        <f aca="false">IF(AND($G79&lt;=R$5,$H79&gt;=R$4),"■","")</f>
        <v/>
      </c>
      <c r="S79" s="10" t="str">
        <f aca="false">IF(AND($G79&lt;=S$5,$H79&gt;=S$4),"■","")</f>
        <v/>
      </c>
      <c r="T79" s="10" t="str">
        <f aca="false">IF(AND($G79&lt;=T$5,$H79&gt;=T$4),"■","")</f>
        <v/>
      </c>
      <c r="U79" s="10" t="str">
        <f aca="false">IF(AND($G79&lt;=U$5,$H79&gt;=U$4),"■","")</f>
        <v/>
      </c>
      <c r="V79" s="10" t="str">
        <f aca="false">IF(AND($G79&lt;=V$5,$H79&gt;=V$4),"■","")</f>
        <v/>
      </c>
      <c r="W79" s="10" t="str">
        <f aca="false">IF(AND($G79&lt;=W$5,$H79&gt;=W$4),"■","")</f>
        <v/>
      </c>
      <c r="X79" s="10" t="str">
        <f aca="false">IF(AND($G79&lt;=X$5,$H79&gt;=X$4),"■","")</f>
        <v/>
      </c>
      <c r="Y79" s="10" t="str">
        <f aca="false">IF(AND($G79&lt;=Y$5,$H79&gt;=Y$4),"■","")</f>
        <v/>
      </c>
      <c r="Z79" s="10" t="str">
        <f aca="false">IF(AND($G79&lt;=Z$5,$H79&gt;=Z$4),"■","")</f>
        <v>■</v>
      </c>
      <c r="AA79" s="10" t="str">
        <f aca="false">IF(AND($G79&lt;=AA$5,$H79&gt;=AA$4),"■","")</f>
        <v>■</v>
      </c>
    </row>
    <row r="80" customFormat="false" ht="15" hidden="false" customHeight="false" outlineLevel="0" collapsed="false">
      <c r="A80" s="4" t="s">
        <v>446</v>
      </c>
      <c r="B80" s="4" t="s">
        <v>441</v>
      </c>
      <c r="C80" s="4" t="s">
        <v>447</v>
      </c>
      <c r="D80" s="4" t="s">
        <v>448</v>
      </c>
      <c r="E80" s="4" t="s">
        <v>24</v>
      </c>
      <c r="F80" s="11" t="s">
        <v>155</v>
      </c>
      <c r="G80" s="9" t="n">
        <v>60</v>
      </c>
      <c r="H80" s="9" t="n">
        <v>120</v>
      </c>
      <c r="I80" s="12" t="n">
        <f aca="false">H80-G80+1</f>
        <v>61</v>
      </c>
      <c r="J80" s="4" t="s">
        <v>424</v>
      </c>
      <c r="K80" s="4" t="s">
        <v>430</v>
      </c>
      <c r="L80" s="4"/>
      <c r="M80" s="10" t="str">
        <f aca="false">IF(AND($G80&lt;=M$5,$H80&gt;=M$4),"■","")</f>
        <v/>
      </c>
      <c r="N80" s="10" t="str">
        <f aca="false">IF(AND($G80&lt;=N$5,$H80&gt;=N$4),"■","")</f>
        <v/>
      </c>
      <c r="O80" s="10" t="str">
        <f aca="false">IF(AND($G80&lt;=O$5,$H80&gt;=O$4),"■","")</f>
        <v/>
      </c>
      <c r="P80" s="10" t="str">
        <f aca="false">IF(AND($G80&lt;=P$5,$H80&gt;=P$4),"■","")</f>
        <v/>
      </c>
      <c r="Q80" s="10" t="str">
        <f aca="false">IF(AND($G80&lt;=Q$5,$H80&gt;=Q$4),"■","")</f>
        <v/>
      </c>
      <c r="R80" s="10" t="str">
        <f aca="false">IF(AND($G80&lt;=R$5,$H80&gt;=R$4),"■","")</f>
        <v/>
      </c>
      <c r="S80" s="10" t="str">
        <f aca="false">IF(AND($G80&lt;=S$5,$H80&gt;=S$4),"■","")</f>
        <v/>
      </c>
      <c r="T80" s="10" t="str">
        <f aca="false">IF(AND($G80&lt;=T$5,$H80&gt;=T$4),"■","")</f>
        <v/>
      </c>
      <c r="U80" s="10" t="str">
        <f aca="false">IF(AND($G80&lt;=U$5,$H80&gt;=U$4),"■","")</f>
        <v/>
      </c>
      <c r="V80" s="10" t="str">
        <f aca="false">IF(AND($G80&lt;=V$5,$H80&gt;=V$4),"■","")</f>
        <v>■</v>
      </c>
      <c r="W80" s="10" t="str">
        <f aca="false">IF(AND($G80&lt;=W$5,$H80&gt;=W$4),"■","")</f>
        <v>■</v>
      </c>
      <c r="X80" s="10" t="str">
        <f aca="false">IF(AND($G80&lt;=X$5,$H80&gt;=X$4),"■","")</f>
        <v>■</v>
      </c>
      <c r="Y80" s="10" t="str">
        <f aca="false">IF(AND($G80&lt;=Y$5,$H80&gt;=Y$4),"■","")</f>
        <v>■</v>
      </c>
      <c r="Z80" s="10" t="str">
        <f aca="false">IF(AND($G80&lt;=Z$5,$H80&gt;=Z$4),"■","")</f>
        <v>■</v>
      </c>
      <c r="AA80" s="10" t="str">
        <f aca="false">IF(AND($G80&lt;=AA$5,$H80&gt;=AA$4),"■","")</f>
        <v>■</v>
      </c>
    </row>
    <row r="81" customFormat="false" ht="23.85" hidden="false" customHeight="false" outlineLevel="0" collapsed="false">
      <c r="A81" s="4" t="s">
        <v>449</v>
      </c>
      <c r="B81" s="4" t="s">
        <v>441</v>
      </c>
      <c r="C81" s="4" t="s">
        <v>450</v>
      </c>
      <c r="D81" s="4" t="s">
        <v>451</v>
      </c>
      <c r="E81" s="4" t="s">
        <v>24</v>
      </c>
      <c r="F81" s="11" t="s">
        <v>155</v>
      </c>
      <c r="G81" s="9" t="n">
        <v>60</v>
      </c>
      <c r="H81" s="9" t="n">
        <v>120</v>
      </c>
      <c r="I81" s="12" t="n">
        <f aca="false">H81-G81+1</f>
        <v>61</v>
      </c>
      <c r="J81" s="4" t="s">
        <v>424</v>
      </c>
      <c r="K81" s="4" t="s">
        <v>430</v>
      </c>
      <c r="L81" s="4"/>
      <c r="M81" s="10" t="str">
        <f aca="false">IF(AND($G81&lt;=M$5,$H81&gt;=M$4),"■","")</f>
        <v/>
      </c>
      <c r="N81" s="10" t="str">
        <f aca="false">IF(AND($G81&lt;=N$5,$H81&gt;=N$4),"■","")</f>
        <v/>
      </c>
      <c r="O81" s="10" t="str">
        <f aca="false">IF(AND($G81&lt;=O$5,$H81&gt;=O$4),"■","")</f>
        <v/>
      </c>
      <c r="P81" s="10" t="str">
        <f aca="false">IF(AND($G81&lt;=P$5,$H81&gt;=P$4),"■","")</f>
        <v/>
      </c>
      <c r="Q81" s="10" t="str">
        <f aca="false">IF(AND($G81&lt;=Q$5,$H81&gt;=Q$4),"■","")</f>
        <v/>
      </c>
      <c r="R81" s="10" t="str">
        <f aca="false">IF(AND($G81&lt;=R$5,$H81&gt;=R$4),"■","")</f>
        <v/>
      </c>
      <c r="S81" s="10" t="str">
        <f aca="false">IF(AND($G81&lt;=S$5,$H81&gt;=S$4),"■","")</f>
        <v/>
      </c>
      <c r="T81" s="10" t="str">
        <f aca="false">IF(AND($G81&lt;=T$5,$H81&gt;=T$4),"■","")</f>
        <v/>
      </c>
      <c r="U81" s="10" t="str">
        <f aca="false">IF(AND($G81&lt;=U$5,$H81&gt;=U$4),"■","")</f>
        <v/>
      </c>
      <c r="V81" s="10" t="str">
        <f aca="false">IF(AND($G81&lt;=V$5,$H81&gt;=V$4),"■","")</f>
        <v>■</v>
      </c>
      <c r="W81" s="10" t="str">
        <f aca="false">IF(AND($G81&lt;=W$5,$H81&gt;=W$4),"■","")</f>
        <v>■</v>
      </c>
      <c r="X81" s="10" t="str">
        <f aca="false">IF(AND($G81&lt;=X$5,$H81&gt;=X$4),"■","")</f>
        <v>■</v>
      </c>
      <c r="Y81" s="10" t="str">
        <f aca="false">IF(AND($G81&lt;=Y$5,$H81&gt;=Y$4),"■","")</f>
        <v>■</v>
      </c>
      <c r="Z81" s="10" t="str">
        <f aca="false">IF(AND($G81&lt;=Z$5,$H81&gt;=Z$4),"■","")</f>
        <v>■</v>
      </c>
      <c r="AA81" s="10" t="str">
        <f aca="false">IF(AND($G81&lt;=AA$5,$H81&gt;=AA$4),"■","")</f>
        <v>■</v>
      </c>
    </row>
    <row r="82" customFormat="false" ht="15" hidden="false" customHeight="false" outlineLevel="0" collapsed="false">
      <c r="A82" s="4" t="s">
        <v>452</v>
      </c>
      <c r="B82" s="4" t="s">
        <v>441</v>
      </c>
      <c r="C82" s="4" t="s">
        <v>453</v>
      </c>
      <c r="D82" s="4" t="s">
        <v>454</v>
      </c>
      <c r="E82" s="4" t="s">
        <v>24</v>
      </c>
      <c r="F82" s="11" t="s">
        <v>155</v>
      </c>
      <c r="G82" s="9" t="n">
        <v>60</v>
      </c>
      <c r="H82" s="9" t="n">
        <v>120</v>
      </c>
      <c r="I82" s="12" t="n">
        <f aca="false">H82-G82+1</f>
        <v>61</v>
      </c>
      <c r="J82" s="4" t="s">
        <v>424</v>
      </c>
      <c r="K82" s="4" t="s">
        <v>430</v>
      </c>
      <c r="L82" s="4"/>
      <c r="M82" s="10" t="str">
        <f aca="false">IF(AND($G82&lt;=M$5,$H82&gt;=M$4),"■","")</f>
        <v/>
      </c>
      <c r="N82" s="10" t="str">
        <f aca="false">IF(AND($G82&lt;=N$5,$H82&gt;=N$4),"■","")</f>
        <v/>
      </c>
      <c r="O82" s="10" t="str">
        <f aca="false">IF(AND($G82&lt;=O$5,$H82&gt;=O$4),"■","")</f>
        <v/>
      </c>
      <c r="P82" s="10" t="str">
        <f aca="false">IF(AND($G82&lt;=P$5,$H82&gt;=P$4),"■","")</f>
        <v/>
      </c>
      <c r="Q82" s="10" t="str">
        <f aca="false">IF(AND($G82&lt;=Q$5,$H82&gt;=Q$4),"■","")</f>
        <v/>
      </c>
      <c r="R82" s="10" t="str">
        <f aca="false">IF(AND($G82&lt;=R$5,$H82&gt;=R$4),"■","")</f>
        <v/>
      </c>
      <c r="S82" s="10" t="str">
        <f aca="false">IF(AND($G82&lt;=S$5,$H82&gt;=S$4),"■","")</f>
        <v/>
      </c>
      <c r="T82" s="10" t="str">
        <f aca="false">IF(AND($G82&lt;=T$5,$H82&gt;=T$4),"■","")</f>
        <v/>
      </c>
      <c r="U82" s="10" t="str">
        <f aca="false">IF(AND($G82&lt;=U$5,$H82&gt;=U$4),"■","")</f>
        <v/>
      </c>
      <c r="V82" s="10" t="str">
        <f aca="false">IF(AND($G82&lt;=V$5,$H82&gt;=V$4),"■","")</f>
        <v>■</v>
      </c>
      <c r="W82" s="10" t="str">
        <f aca="false">IF(AND($G82&lt;=W$5,$H82&gt;=W$4),"■","")</f>
        <v>■</v>
      </c>
      <c r="X82" s="10" t="str">
        <f aca="false">IF(AND($G82&lt;=X$5,$H82&gt;=X$4),"■","")</f>
        <v>■</v>
      </c>
      <c r="Y82" s="10" t="str">
        <f aca="false">IF(AND($G82&lt;=Y$5,$H82&gt;=Y$4),"■","")</f>
        <v>■</v>
      </c>
      <c r="Z82" s="10" t="str">
        <f aca="false">IF(AND($G82&lt;=Z$5,$H82&gt;=Z$4),"■","")</f>
        <v>■</v>
      </c>
      <c r="AA82" s="10" t="str">
        <f aca="false">IF(AND($G82&lt;=AA$5,$H82&gt;=AA$4),"■","")</f>
        <v>■</v>
      </c>
    </row>
    <row r="83" customFormat="false" ht="15" hidden="false" customHeight="false" outlineLevel="0" collapsed="false">
      <c r="A83" s="4" t="s">
        <v>455</v>
      </c>
      <c r="B83" s="4" t="s">
        <v>441</v>
      </c>
      <c r="C83" s="4" t="s">
        <v>456</v>
      </c>
      <c r="D83" s="4" t="s">
        <v>457</v>
      </c>
      <c r="E83" s="4" t="s">
        <v>24</v>
      </c>
      <c r="F83" s="11" t="s">
        <v>155</v>
      </c>
      <c r="G83" s="9" t="n">
        <v>120</v>
      </c>
      <c r="H83" s="9" t="n">
        <v>365</v>
      </c>
      <c r="I83" s="12" t="n">
        <f aca="false">H83-G83+1</f>
        <v>246</v>
      </c>
      <c r="J83" s="4" t="s">
        <v>440</v>
      </c>
      <c r="K83" s="4" t="s">
        <v>228</v>
      </c>
      <c r="L83" s="4" t="s">
        <v>458</v>
      </c>
      <c r="M83" s="10" t="str">
        <f aca="false">IF(AND($G83&lt;=M$5,$H83&gt;=M$4),"■","")</f>
        <v/>
      </c>
      <c r="N83" s="10" t="str">
        <f aca="false">IF(AND($G83&lt;=N$5,$H83&gt;=N$4),"■","")</f>
        <v/>
      </c>
      <c r="O83" s="10" t="str">
        <f aca="false">IF(AND($G83&lt;=O$5,$H83&gt;=O$4),"■","")</f>
        <v/>
      </c>
      <c r="P83" s="10" t="str">
        <f aca="false">IF(AND($G83&lt;=P$5,$H83&gt;=P$4),"■","")</f>
        <v/>
      </c>
      <c r="Q83" s="10" t="str">
        <f aca="false">IF(AND($G83&lt;=Q$5,$H83&gt;=Q$4),"■","")</f>
        <v/>
      </c>
      <c r="R83" s="10" t="str">
        <f aca="false">IF(AND($G83&lt;=R$5,$H83&gt;=R$4),"■","")</f>
        <v/>
      </c>
      <c r="S83" s="10" t="str">
        <f aca="false">IF(AND($G83&lt;=S$5,$H83&gt;=S$4),"■","")</f>
        <v/>
      </c>
      <c r="T83" s="10" t="str">
        <f aca="false">IF(AND($G83&lt;=T$5,$H83&gt;=T$4),"■","")</f>
        <v/>
      </c>
      <c r="U83" s="10" t="str">
        <f aca="false">IF(AND($G83&lt;=U$5,$H83&gt;=U$4),"■","")</f>
        <v/>
      </c>
      <c r="V83" s="10" t="str">
        <f aca="false">IF(AND($G83&lt;=V$5,$H83&gt;=V$4),"■","")</f>
        <v/>
      </c>
      <c r="W83" s="10" t="str">
        <f aca="false">IF(AND($G83&lt;=W$5,$H83&gt;=W$4),"■","")</f>
        <v/>
      </c>
      <c r="X83" s="10" t="str">
        <f aca="false">IF(AND($G83&lt;=X$5,$H83&gt;=X$4),"■","")</f>
        <v/>
      </c>
      <c r="Y83" s="10" t="str">
        <f aca="false">IF(AND($G83&lt;=Y$5,$H83&gt;=Y$4),"■","")</f>
        <v/>
      </c>
      <c r="Z83" s="10" t="str">
        <f aca="false">IF(AND($G83&lt;=Z$5,$H83&gt;=Z$4),"■","")</f>
        <v/>
      </c>
      <c r="AA83" s="10" t="str">
        <f aca="false">IF(AND($G83&lt;=AA$5,$H83&gt;=AA$4),"■","")</f>
        <v>■</v>
      </c>
    </row>
    <row r="86" customFormat="false" ht="15" hidden="false" customHeight="false" outlineLevel="0" collapsed="false">
      <c r="C86" s="5" t="s">
        <v>459</v>
      </c>
    </row>
    <row r="87" customFormat="false" ht="30" hidden="false" customHeight="true" outlineLevel="0" collapsed="false">
      <c r="A87" s="13"/>
      <c r="B87" s="13"/>
      <c r="C87" s="3" t="s">
        <v>131</v>
      </c>
      <c r="D87" s="3" t="s">
        <v>460</v>
      </c>
      <c r="E87" s="3" t="s">
        <v>132</v>
      </c>
    </row>
    <row r="88" customFormat="false" ht="15" hidden="false" customHeight="false" outlineLevel="0" collapsed="false">
      <c r="C88" s="14" t="s">
        <v>24</v>
      </c>
      <c r="D88" s="14" t="n">
        <f aca="false">COUNTIF($E$7:$E$83,C88)</f>
        <v>15</v>
      </c>
      <c r="E88" s="14" t="n">
        <f aca="false">COUNTIFS($E$7:$E$83,C88,$F$7:$F$83,"Yes")</f>
        <v>7</v>
      </c>
    </row>
    <row r="89" customFormat="false" ht="15" hidden="false" customHeight="false" outlineLevel="0" collapsed="false">
      <c r="C89" s="14" t="s">
        <v>26</v>
      </c>
      <c r="D89" s="14" t="n">
        <f aca="false">COUNTIF($E$7:$E$83,C89)</f>
        <v>44</v>
      </c>
      <c r="E89" s="14" t="n">
        <f aca="false">COUNTIFS($E$7:$E$83,C89,$F$7:$F$83,"Yes")</f>
        <v>21</v>
      </c>
    </row>
    <row r="90" customFormat="false" ht="15" hidden="false" customHeight="false" outlineLevel="0" collapsed="false">
      <c r="C90" s="14" t="s">
        <v>28</v>
      </c>
      <c r="D90" s="14" t="n">
        <f aca="false">COUNTIF($E$7:$E$83,C90)</f>
        <v>2</v>
      </c>
      <c r="E90" s="14" t="n">
        <f aca="false">COUNTIFS($E$7:$E$83,C90,$F$7:$F$83,"Yes")</f>
        <v>1</v>
      </c>
    </row>
    <row r="91" customFormat="false" ht="15" hidden="false" customHeight="false" outlineLevel="0" collapsed="false">
      <c r="C91" s="14" t="s">
        <v>30</v>
      </c>
      <c r="D91" s="14" t="n">
        <f aca="false">COUNTIF($E$7:$E$83,C91)</f>
        <v>3</v>
      </c>
      <c r="E91" s="14" t="n">
        <f aca="false">COUNTIFS($E$7:$E$83,C91,$F$7:$F$83,"Yes")</f>
        <v>0</v>
      </c>
    </row>
    <row r="92" customFormat="false" ht="15" hidden="false" customHeight="false" outlineLevel="0" collapsed="false">
      <c r="C92" s="14" t="s">
        <v>32</v>
      </c>
      <c r="D92" s="14" t="n">
        <f aca="false">COUNTIF($E$7:$E$83,C92)</f>
        <v>5</v>
      </c>
      <c r="E92" s="14" t="n">
        <f aca="false">COUNTIFS($E$7:$E$83,C92,$F$7:$F$83,"Yes")</f>
        <v>3</v>
      </c>
    </row>
    <row r="93" customFormat="false" ht="15" hidden="false" customHeight="false" outlineLevel="0" collapsed="false">
      <c r="C93" s="14" t="s">
        <v>34</v>
      </c>
      <c r="D93" s="14" t="n">
        <f aca="false">COUNTIF($E$7:$E$83,C93)</f>
        <v>8</v>
      </c>
      <c r="E93" s="14" t="n">
        <f aca="false">COUNTIFS($E$7:$E$83,C93,$F$7:$F$83,"Yes")</f>
        <v>8</v>
      </c>
    </row>
    <row r="94" customFormat="false" ht="15" hidden="false" customHeight="false" outlineLevel="0" collapsed="false">
      <c r="C94" s="14" t="s">
        <v>36</v>
      </c>
      <c r="D94" s="14" t="n">
        <f aca="false">COUNTIF($E$7:$E$83,C94)</f>
        <v>0</v>
      </c>
      <c r="E94" s="14" t="n">
        <f aca="false">COUNTIFS($E$7:$E$83,C94,$F$7:$F$83,"Yes")</f>
        <v>0</v>
      </c>
    </row>
    <row r="95" customFormat="false" ht="15" hidden="false" customHeight="false" outlineLevel="0" collapsed="false">
      <c r="C95" s="15" t="s">
        <v>461</v>
      </c>
      <c r="D95" s="15" t="n">
        <f aca="false">SUM(D88:D94)</f>
        <v>77</v>
      </c>
      <c r="E95" s="15" t="n">
        <f aca="false">SUM(E88:E94)</f>
        <v>40</v>
      </c>
    </row>
  </sheetData>
  <autoFilter ref="A6:L83"/>
  <conditionalFormatting sqref="F7:F83">
    <cfRule type="cellIs" priority="2" operator="equal" aboveAverage="0" equalAverage="0" bottom="0" percent="0" rank="0" text="" dxfId="6">
      <formula>"Yes"</formula>
    </cfRule>
  </conditionalFormatting>
  <conditionalFormatting sqref="M7:AA83">
    <cfRule type="cellIs" priority="3" operator="equal" aboveAverage="0" equalAverage="0" bottom="0" percent="0" rank="0" text="" dxfId="0">
      <formula>"■"</formula>
    </cfRule>
  </conditionalFormatting>
  <dataValidations count="1">
    <dataValidation allowBlank="true" errorStyle="stop" operator="between" showDropDown="false" showErrorMessage="false" showInputMessage="false" sqref="E7:E83" type="list">
      <formula1>"Phil,Architect,Ops,AI,Automation,Client POC,Client team"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462</v>
      </c>
    </row>
    <row r="4" customFormat="false" ht="30" hidden="false" customHeight="true" outlineLevel="0" collapsed="false">
      <c r="A4" s="3" t="s">
        <v>463</v>
      </c>
      <c r="B4" s="3" t="s">
        <v>464</v>
      </c>
      <c r="C4" s="3" t="s">
        <v>465</v>
      </c>
      <c r="D4" s="3" t="s">
        <v>466</v>
      </c>
      <c r="E4" s="3" t="s">
        <v>467</v>
      </c>
      <c r="F4" s="3" t="s">
        <v>468</v>
      </c>
      <c r="G4" s="3" t="s">
        <v>469</v>
      </c>
    </row>
    <row r="5" customFormat="false" ht="15" hidden="false" customHeight="false" outlineLevel="0" collapsed="false">
      <c r="A5" s="4" t="s">
        <v>470</v>
      </c>
      <c r="B5" s="4" t="s">
        <v>471</v>
      </c>
      <c r="C5" s="4" t="s">
        <v>472</v>
      </c>
      <c r="D5" s="4" t="s">
        <v>155</v>
      </c>
      <c r="E5" s="4" t="s">
        <v>473</v>
      </c>
      <c r="F5" s="4" t="s">
        <v>474</v>
      </c>
      <c r="G5" s="4" t="s">
        <v>475</v>
      </c>
    </row>
    <row r="6" customFormat="false" ht="15" hidden="false" customHeight="false" outlineLevel="0" collapsed="false">
      <c r="A6" s="4" t="s">
        <v>470</v>
      </c>
      <c r="B6" s="4" t="s">
        <v>476</v>
      </c>
      <c r="C6" s="4" t="s">
        <v>477</v>
      </c>
      <c r="D6" s="4" t="s">
        <v>155</v>
      </c>
      <c r="E6" s="4" t="s">
        <v>478</v>
      </c>
      <c r="F6" s="4" t="s">
        <v>479</v>
      </c>
      <c r="G6" s="4" t="s">
        <v>480</v>
      </c>
    </row>
    <row r="7" customFormat="false" ht="23.85" hidden="false" customHeight="false" outlineLevel="0" collapsed="false">
      <c r="A7" s="4" t="s">
        <v>470</v>
      </c>
      <c r="B7" s="4" t="s">
        <v>481</v>
      </c>
      <c r="C7" s="4" t="s">
        <v>472</v>
      </c>
      <c r="D7" s="4" t="s">
        <v>155</v>
      </c>
      <c r="E7" s="4" t="s">
        <v>141</v>
      </c>
      <c r="F7" s="4" t="s">
        <v>482</v>
      </c>
      <c r="G7" s="4" t="s">
        <v>483</v>
      </c>
    </row>
    <row r="8" customFormat="false" ht="23.85" hidden="false" customHeight="false" outlineLevel="0" collapsed="false">
      <c r="A8" s="4" t="s">
        <v>470</v>
      </c>
      <c r="B8" s="4" t="s">
        <v>484</v>
      </c>
      <c r="C8" s="4" t="s">
        <v>485</v>
      </c>
      <c r="D8" s="4" t="s">
        <v>155</v>
      </c>
      <c r="E8" s="4" t="s">
        <v>141</v>
      </c>
      <c r="F8" s="4" t="s">
        <v>486</v>
      </c>
      <c r="G8" s="4" t="s">
        <v>487</v>
      </c>
    </row>
    <row r="9" customFormat="false" ht="15" hidden="false" customHeight="false" outlineLevel="0" collapsed="false">
      <c r="A9" s="4" t="s">
        <v>470</v>
      </c>
      <c r="B9" s="4" t="s">
        <v>488</v>
      </c>
      <c r="C9" s="4" t="s">
        <v>472</v>
      </c>
      <c r="D9" s="4" t="s">
        <v>141</v>
      </c>
      <c r="E9" s="4" t="s">
        <v>141</v>
      </c>
      <c r="F9" s="4" t="s">
        <v>489</v>
      </c>
      <c r="G9" s="4" t="s">
        <v>490</v>
      </c>
    </row>
    <row r="10" customFormat="false" ht="23.85" hidden="false" customHeight="false" outlineLevel="0" collapsed="false">
      <c r="A10" s="4" t="s">
        <v>491</v>
      </c>
      <c r="B10" s="4" t="s">
        <v>492</v>
      </c>
      <c r="C10" s="4" t="s">
        <v>477</v>
      </c>
      <c r="D10" s="4" t="s">
        <v>155</v>
      </c>
      <c r="E10" s="4" t="s">
        <v>473</v>
      </c>
      <c r="F10" s="4" t="s">
        <v>493</v>
      </c>
      <c r="G10" s="4" t="s">
        <v>494</v>
      </c>
    </row>
    <row r="11" customFormat="false" ht="15" hidden="false" customHeight="false" outlineLevel="0" collapsed="false">
      <c r="A11" s="4" t="s">
        <v>491</v>
      </c>
      <c r="B11" s="4" t="s">
        <v>495</v>
      </c>
      <c r="C11" s="4" t="s">
        <v>477</v>
      </c>
      <c r="D11" s="4" t="s">
        <v>155</v>
      </c>
      <c r="E11" s="4" t="s">
        <v>478</v>
      </c>
      <c r="F11" s="4" t="s">
        <v>496</v>
      </c>
      <c r="G11" s="4" t="s">
        <v>497</v>
      </c>
    </row>
    <row r="12" customFormat="false" ht="15" hidden="false" customHeight="false" outlineLevel="0" collapsed="false">
      <c r="A12" s="4" t="s">
        <v>491</v>
      </c>
      <c r="B12" s="4" t="s">
        <v>498</v>
      </c>
      <c r="C12" s="4" t="s">
        <v>477</v>
      </c>
      <c r="D12" s="4" t="s">
        <v>155</v>
      </c>
      <c r="E12" s="4" t="s">
        <v>478</v>
      </c>
      <c r="F12" s="4" t="s">
        <v>499</v>
      </c>
      <c r="G12" s="4" t="s">
        <v>500</v>
      </c>
    </row>
    <row r="13" customFormat="false" ht="23.85" hidden="false" customHeight="false" outlineLevel="0" collapsed="false">
      <c r="A13" s="4" t="s">
        <v>491</v>
      </c>
      <c r="B13" s="4" t="s">
        <v>501</v>
      </c>
      <c r="C13" s="4" t="s">
        <v>502</v>
      </c>
      <c r="D13" s="4" t="s">
        <v>141</v>
      </c>
      <c r="E13" s="4" t="s">
        <v>478</v>
      </c>
      <c r="F13" s="4" t="s">
        <v>503</v>
      </c>
      <c r="G13" s="4" t="s">
        <v>504</v>
      </c>
    </row>
    <row r="14" customFormat="false" ht="15" hidden="false" customHeight="false" outlineLevel="0" collapsed="false">
      <c r="A14" s="4" t="s">
        <v>505</v>
      </c>
      <c r="B14" s="4" t="s">
        <v>506</v>
      </c>
      <c r="C14" s="4" t="s">
        <v>477</v>
      </c>
      <c r="D14" s="4" t="s">
        <v>155</v>
      </c>
      <c r="E14" s="4" t="s">
        <v>141</v>
      </c>
      <c r="F14" s="4" t="s">
        <v>507</v>
      </c>
      <c r="G14" s="4" t="s">
        <v>500</v>
      </c>
    </row>
    <row r="15" customFormat="false" ht="15" hidden="false" customHeight="false" outlineLevel="0" collapsed="false">
      <c r="A15" s="4" t="s">
        <v>505</v>
      </c>
      <c r="B15" s="4" t="s">
        <v>508</v>
      </c>
      <c r="C15" s="4" t="s">
        <v>477</v>
      </c>
      <c r="D15" s="4" t="s">
        <v>155</v>
      </c>
      <c r="E15" s="4" t="s">
        <v>141</v>
      </c>
      <c r="F15" s="4" t="s">
        <v>509</v>
      </c>
      <c r="G15" s="4" t="s">
        <v>500</v>
      </c>
    </row>
    <row r="16" customFormat="false" ht="35.05" hidden="false" customHeight="false" outlineLevel="0" collapsed="false">
      <c r="A16" s="4" t="s">
        <v>510</v>
      </c>
      <c r="B16" s="4" t="s">
        <v>511</v>
      </c>
      <c r="C16" s="4" t="s">
        <v>512</v>
      </c>
      <c r="D16" s="4" t="s">
        <v>155</v>
      </c>
      <c r="E16" s="4" t="s">
        <v>478</v>
      </c>
      <c r="F16" s="4" t="s">
        <v>513</v>
      </c>
      <c r="G16" s="4" t="s">
        <v>514</v>
      </c>
    </row>
    <row r="17" customFormat="false" ht="15" hidden="false" customHeight="false" outlineLevel="0" collapsed="false">
      <c r="A17" s="4" t="s">
        <v>510</v>
      </c>
      <c r="B17" s="4" t="s">
        <v>515</v>
      </c>
      <c r="C17" s="4" t="s">
        <v>477</v>
      </c>
      <c r="D17" s="4" t="s">
        <v>141</v>
      </c>
      <c r="E17" s="4" t="s">
        <v>141</v>
      </c>
      <c r="F17" s="4" t="s">
        <v>516</v>
      </c>
      <c r="G17" s="4" t="s">
        <v>500</v>
      </c>
    </row>
    <row r="18" customFormat="false" ht="15" hidden="false" customHeight="false" outlineLevel="0" collapsed="false">
      <c r="A18" s="4" t="s">
        <v>510</v>
      </c>
      <c r="B18" s="4" t="s">
        <v>517</v>
      </c>
      <c r="C18" s="4" t="s">
        <v>472</v>
      </c>
      <c r="D18" s="4" t="s">
        <v>155</v>
      </c>
      <c r="E18" s="4" t="s">
        <v>478</v>
      </c>
      <c r="F18" s="4" t="s">
        <v>518</v>
      </c>
      <c r="G18" s="4" t="s">
        <v>519</v>
      </c>
    </row>
    <row r="19" customFormat="false" ht="15" hidden="false" customHeight="false" outlineLevel="0" collapsed="false">
      <c r="A19" s="4" t="s">
        <v>510</v>
      </c>
      <c r="B19" s="4" t="s">
        <v>520</v>
      </c>
      <c r="C19" s="4" t="s">
        <v>472</v>
      </c>
      <c r="D19" s="4" t="s">
        <v>141</v>
      </c>
      <c r="E19" s="4" t="s">
        <v>141</v>
      </c>
      <c r="F19" s="4" t="s">
        <v>521</v>
      </c>
      <c r="G19" s="4" t="s">
        <v>500</v>
      </c>
    </row>
    <row r="20" customFormat="false" ht="23.85" hidden="false" customHeight="false" outlineLevel="0" collapsed="false">
      <c r="A20" s="4" t="s">
        <v>522</v>
      </c>
      <c r="B20" s="4" t="s">
        <v>523</v>
      </c>
      <c r="C20" s="4" t="s">
        <v>472</v>
      </c>
      <c r="D20" s="4" t="s">
        <v>155</v>
      </c>
      <c r="E20" s="4" t="s">
        <v>141</v>
      </c>
      <c r="F20" s="4" t="s">
        <v>524</v>
      </c>
      <c r="G20" s="4" t="s">
        <v>525</v>
      </c>
    </row>
    <row r="21" customFormat="false" ht="23.85" hidden="false" customHeight="false" outlineLevel="0" collapsed="false">
      <c r="A21" s="4" t="s">
        <v>526</v>
      </c>
      <c r="B21" s="4" t="s">
        <v>527</v>
      </c>
      <c r="C21" s="4" t="s">
        <v>528</v>
      </c>
      <c r="D21" s="4" t="s">
        <v>155</v>
      </c>
      <c r="E21" s="4" t="s">
        <v>473</v>
      </c>
      <c r="F21" s="4" t="s">
        <v>529</v>
      </c>
      <c r="G21" s="4" t="s">
        <v>530</v>
      </c>
    </row>
    <row r="22" customFormat="false" ht="15" hidden="false" customHeight="false" outlineLevel="0" collapsed="false">
      <c r="A22" s="4" t="s">
        <v>526</v>
      </c>
      <c r="B22" s="4" t="s">
        <v>531</v>
      </c>
      <c r="C22" s="4" t="s">
        <v>532</v>
      </c>
      <c r="D22" s="4" t="s">
        <v>155</v>
      </c>
      <c r="E22" s="4" t="s">
        <v>478</v>
      </c>
      <c r="F22" s="4" t="s">
        <v>533</v>
      </c>
      <c r="G22" s="4" t="s">
        <v>534</v>
      </c>
    </row>
    <row r="23" customFormat="false" ht="15" hidden="false" customHeight="false" outlineLevel="0" collapsed="false">
      <c r="A23" s="4" t="s">
        <v>526</v>
      </c>
      <c r="B23" s="4" t="s">
        <v>535</v>
      </c>
      <c r="C23" s="4" t="s">
        <v>472</v>
      </c>
      <c r="D23" s="4" t="s">
        <v>155</v>
      </c>
      <c r="E23" s="4" t="s">
        <v>141</v>
      </c>
      <c r="F23" s="4" t="s">
        <v>536</v>
      </c>
      <c r="G23" s="4" t="s">
        <v>537</v>
      </c>
    </row>
    <row r="24" customFormat="false" ht="23.85" hidden="false" customHeight="false" outlineLevel="0" collapsed="false">
      <c r="A24" s="4" t="s">
        <v>526</v>
      </c>
      <c r="B24" s="4" t="s">
        <v>538</v>
      </c>
      <c r="C24" s="4" t="s">
        <v>539</v>
      </c>
      <c r="D24" s="4" t="s">
        <v>155</v>
      </c>
      <c r="E24" s="4" t="s">
        <v>478</v>
      </c>
      <c r="F24" s="4" t="s">
        <v>540</v>
      </c>
      <c r="G24" s="4" t="s">
        <v>541</v>
      </c>
    </row>
    <row r="25" customFormat="false" ht="15" hidden="false" customHeight="false" outlineLevel="0" collapsed="false">
      <c r="A25" s="4" t="s">
        <v>526</v>
      </c>
      <c r="B25" s="4" t="s">
        <v>542</v>
      </c>
      <c r="C25" s="4" t="s">
        <v>543</v>
      </c>
      <c r="D25" s="4" t="s">
        <v>155</v>
      </c>
      <c r="E25" s="4" t="s">
        <v>141</v>
      </c>
      <c r="F25" s="4" t="s">
        <v>544</v>
      </c>
      <c r="G25" s="4" t="s">
        <v>500</v>
      </c>
    </row>
    <row r="26" customFormat="false" ht="23.85" hidden="false" customHeight="false" outlineLevel="0" collapsed="false">
      <c r="A26" s="4" t="s">
        <v>545</v>
      </c>
      <c r="B26" s="4" t="s">
        <v>546</v>
      </c>
      <c r="C26" s="4" t="s">
        <v>547</v>
      </c>
      <c r="D26" s="4" t="s">
        <v>155</v>
      </c>
      <c r="E26" s="4" t="s">
        <v>141</v>
      </c>
      <c r="F26" s="4" t="s">
        <v>548</v>
      </c>
      <c r="G26" s="4" t="s">
        <v>549</v>
      </c>
    </row>
    <row r="27" customFormat="false" ht="15" hidden="false" customHeight="false" outlineLevel="0" collapsed="false">
      <c r="A27" s="4" t="s">
        <v>545</v>
      </c>
      <c r="B27" s="4" t="s">
        <v>550</v>
      </c>
      <c r="C27" s="4" t="s">
        <v>472</v>
      </c>
      <c r="D27" s="4" t="s">
        <v>141</v>
      </c>
      <c r="E27" s="4" t="s">
        <v>141</v>
      </c>
      <c r="F27" s="4" t="s">
        <v>551</v>
      </c>
      <c r="G27" s="4" t="s">
        <v>549</v>
      </c>
    </row>
    <row r="28" customFormat="false" ht="15" hidden="false" customHeight="false" outlineLevel="0" collapsed="false">
      <c r="A28" s="4" t="s">
        <v>552</v>
      </c>
      <c r="B28" s="4" t="s">
        <v>553</v>
      </c>
      <c r="C28" s="4" t="s">
        <v>554</v>
      </c>
      <c r="D28" s="4" t="s">
        <v>155</v>
      </c>
      <c r="E28" s="4" t="s">
        <v>141</v>
      </c>
      <c r="F28" s="4" t="s">
        <v>555</v>
      </c>
      <c r="G28" s="4" t="s">
        <v>556</v>
      </c>
    </row>
    <row r="29" customFormat="false" ht="23.85" hidden="false" customHeight="false" outlineLevel="0" collapsed="false">
      <c r="A29" s="4" t="s">
        <v>557</v>
      </c>
      <c r="B29" s="4" t="s">
        <v>558</v>
      </c>
      <c r="C29" s="4" t="s">
        <v>559</v>
      </c>
      <c r="D29" s="4" t="s">
        <v>155</v>
      </c>
      <c r="E29" s="4" t="s">
        <v>478</v>
      </c>
      <c r="F29" s="4" t="s">
        <v>560</v>
      </c>
      <c r="G29" s="4" t="s">
        <v>561</v>
      </c>
    </row>
  </sheetData>
  <autoFilter ref="A4:G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60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562</v>
      </c>
    </row>
    <row r="4" customFormat="false" ht="30" hidden="false" customHeight="true" outlineLevel="0" collapsed="false">
      <c r="A4" s="3" t="s">
        <v>563</v>
      </c>
      <c r="B4" s="3" t="s">
        <v>564</v>
      </c>
      <c r="C4" s="3" t="s">
        <v>565</v>
      </c>
      <c r="D4" s="3" t="s">
        <v>566</v>
      </c>
      <c r="E4" s="3" t="s">
        <v>567</v>
      </c>
      <c r="F4" s="3" t="s">
        <v>131</v>
      </c>
    </row>
    <row r="5" customFormat="false" ht="15" hidden="false" customHeight="false" outlineLevel="0" collapsed="false">
      <c r="A5" s="4" t="s">
        <v>568</v>
      </c>
      <c r="B5" s="4" t="s">
        <v>569</v>
      </c>
      <c r="C5" s="4" t="s">
        <v>570</v>
      </c>
      <c r="D5" s="4" t="s">
        <v>571</v>
      </c>
      <c r="E5" s="4" t="s">
        <v>286</v>
      </c>
      <c r="F5" s="4" t="s">
        <v>26</v>
      </c>
    </row>
    <row r="6" customFormat="false" ht="15" hidden="false" customHeight="false" outlineLevel="0" collapsed="false">
      <c r="A6" s="4" t="s">
        <v>568</v>
      </c>
      <c r="B6" s="4" t="s">
        <v>572</v>
      </c>
      <c r="C6" s="4" t="s">
        <v>573</v>
      </c>
      <c r="D6" s="4" t="s">
        <v>571</v>
      </c>
      <c r="E6" s="4" t="s">
        <v>286</v>
      </c>
      <c r="F6" s="4" t="s">
        <v>26</v>
      </c>
    </row>
    <row r="7" customFormat="false" ht="23.85" hidden="false" customHeight="false" outlineLevel="0" collapsed="false">
      <c r="A7" s="4" t="s">
        <v>568</v>
      </c>
      <c r="B7" s="4" t="s">
        <v>574</v>
      </c>
      <c r="C7" s="4" t="s">
        <v>575</v>
      </c>
      <c r="D7" s="4" t="s">
        <v>571</v>
      </c>
      <c r="E7" s="4" t="s">
        <v>286</v>
      </c>
      <c r="F7" s="4" t="s">
        <v>26</v>
      </c>
    </row>
    <row r="8" customFormat="false" ht="15" hidden="false" customHeight="false" outlineLevel="0" collapsed="false">
      <c r="A8" s="4" t="s">
        <v>576</v>
      </c>
      <c r="B8" s="4" t="s">
        <v>577</v>
      </c>
      <c r="C8" s="4" t="s">
        <v>578</v>
      </c>
      <c r="D8" s="4" t="s">
        <v>571</v>
      </c>
      <c r="E8" s="4" t="s">
        <v>291</v>
      </c>
      <c r="F8" s="4" t="s">
        <v>26</v>
      </c>
    </row>
    <row r="9" customFormat="false" ht="15" hidden="false" customHeight="false" outlineLevel="0" collapsed="false">
      <c r="A9" s="4" t="s">
        <v>576</v>
      </c>
      <c r="B9" s="4" t="s">
        <v>579</v>
      </c>
      <c r="C9" s="4" t="s">
        <v>580</v>
      </c>
      <c r="D9" s="4" t="s">
        <v>571</v>
      </c>
      <c r="E9" s="4" t="s">
        <v>291</v>
      </c>
      <c r="F9" s="4" t="s">
        <v>26</v>
      </c>
    </row>
    <row r="10" customFormat="false" ht="15" hidden="false" customHeight="false" outlineLevel="0" collapsed="false">
      <c r="A10" s="4" t="s">
        <v>576</v>
      </c>
      <c r="B10" s="4" t="s">
        <v>581</v>
      </c>
      <c r="C10" s="4" t="s">
        <v>582</v>
      </c>
      <c r="D10" s="4" t="s">
        <v>571</v>
      </c>
      <c r="E10" s="4" t="s">
        <v>291</v>
      </c>
      <c r="F10" s="4" t="s">
        <v>26</v>
      </c>
    </row>
    <row r="11" customFormat="false" ht="15" hidden="false" customHeight="false" outlineLevel="0" collapsed="false">
      <c r="A11" s="4" t="s">
        <v>583</v>
      </c>
      <c r="B11" s="4" t="s">
        <v>584</v>
      </c>
      <c r="C11" s="4" t="s">
        <v>585</v>
      </c>
      <c r="D11" s="4" t="s">
        <v>571</v>
      </c>
      <c r="E11" s="4" t="s">
        <v>294</v>
      </c>
      <c r="F11" s="4" t="s">
        <v>26</v>
      </c>
    </row>
    <row r="12" customFormat="false" ht="23.85" hidden="false" customHeight="false" outlineLevel="0" collapsed="false">
      <c r="A12" s="4" t="s">
        <v>583</v>
      </c>
      <c r="B12" s="4" t="s">
        <v>586</v>
      </c>
      <c r="C12" s="4" t="s">
        <v>587</v>
      </c>
      <c r="D12" s="4" t="s">
        <v>571</v>
      </c>
      <c r="E12" s="4" t="s">
        <v>294</v>
      </c>
      <c r="F12" s="4" t="s">
        <v>588</v>
      </c>
    </row>
    <row r="13" customFormat="false" ht="15" hidden="false" customHeight="false" outlineLevel="0" collapsed="false">
      <c r="A13" s="4" t="s">
        <v>589</v>
      </c>
      <c r="B13" s="4" t="s">
        <v>590</v>
      </c>
      <c r="C13" s="4" t="s">
        <v>591</v>
      </c>
      <c r="D13" s="4" t="s">
        <v>571</v>
      </c>
      <c r="E13" s="4" t="s">
        <v>297</v>
      </c>
      <c r="F13" s="4" t="s">
        <v>26</v>
      </c>
    </row>
    <row r="14" customFormat="false" ht="15" hidden="false" customHeight="false" outlineLevel="0" collapsed="false">
      <c r="A14" s="4" t="s">
        <v>589</v>
      </c>
      <c r="B14" s="4" t="s">
        <v>592</v>
      </c>
      <c r="C14" s="4" t="s">
        <v>593</v>
      </c>
      <c r="D14" s="4" t="s">
        <v>571</v>
      </c>
      <c r="E14" s="4" t="s">
        <v>297</v>
      </c>
      <c r="F14" s="4" t="s">
        <v>26</v>
      </c>
    </row>
    <row r="15" customFormat="false" ht="15" hidden="false" customHeight="false" outlineLevel="0" collapsed="false">
      <c r="A15" s="4" t="s">
        <v>589</v>
      </c>
      <c r="B15" s="4" t="s">
        <v>594</v>
      </c>
      <c r="C15" s="4" t="s">
        <v>595</v>
      </c>
      <c r="D15" s="4" t="s">
        <v>571</v>
      </c>
      <c r="E15" s="4" t="s">
        <v>297</v>
      </c>
      <c r="F15" s="4" t="s">
        <v>26</v>
      </c>
    </row>
    <row r="16" customFormat="false" ht="15" hidden="false" customHeight="false" outlineLevel="0" collapsed="false">
      <c r="A16" s="4" t="s">
        <v>589</v>
      </c>
      <c r="B16" s="4" t="s">
        <v>596</v>
      </c>
      <c r="C16" s="4" t="s">
        <v>597</v>
      </c>
      <c r="D16" s="4" t="s">
        <v>571</v>
      </c>
      <c r="E16" s="4" t="s">
        <v>297</v>
      </c>
      <c r="F16" s="4" t="s">
        <v>26</v>
      </c>
    </row>
    <row r="17" customFormat="false" ht="23.85" hidden="false" customHeight="false" outlineLevel="0" collapsed="false">
      <c r="A17" s="4" t="s">
        <v>598</v>
      </c>
      <c r="B17" s="4" t="s">
        <v>599</v>
      </c>
      <c r="C17" s="4" t="s">
        <v>600</v>
      </c>
      <c r="D17" s="4" t="s">
        <v>571</v>
      </c>
      <c r="E17" s="4" t="s">
        <v>300</v>
      </c>
      <c r="F17" s="4" t="s">
        <v>26</v>
      </c>
    </row>
    <row r="18" customFormat="false" ht="15" hidden="false" customHeight="false" outlineLevel="0" collapsed="false">
      <c r="A18" s="4" t="s">
        <v>598</v>
      </c>
      <c r="B18" s="4" t="s">
        <v>601</v>
      </c>
      <c r="C18" s="4" t="s">
        <v>602</v>
      </c>
      <c r="D18" s="4" t="s">
        <v>571</v>
      </c>
      <c r="E18" s="4" t="s">
        <v>300</v>
      </c>
      <c r="F18" s="4" t="s">
        <v>26</v>
      </c>
    </row>
    <row r="19" customFormat="false" ht="15" hidden="false" customHeight="false" outlineLevel="0" collapsed="false">
      <c r="A19" s="4" t="s">
        <v>598</v>
      </c>
      <c r="B19" s="4" t="s">
        <v>603</v>
      </c>
      <c r="C19" s="4" t="s">
        <v>604</v>
      </c>
      <c r="D19" s="4" t="s">
        <v>571</v>
      </c>
      <c r="E19" s="4" t="s">
        <v>300</v>
      </c>
      <c r="F19" s="4" t="s">
        <v>26</v>
      </c>
    </row>
    <row r="20" customFormat="false" ht="15" hidden="false" customHeight="false" outlineLevel="0" collapsed="false">
      <c r="A20" s="4" t="s">
        <v>598</v>
      </c>
      <c r="B20" s="4" t="s">
        <v>605</v>
      </c>
      <c r="C20" s="4" t="s">
        <v>606</v>
      </c>
      <c r="D20" s="4" t="s">
        <v>571</v>
      </c>
      <c r="E20" s="4" t="s">
        <v>303</v>
      </c>
      <c r="F20" s="4" t="s">
        <v>26</v>
      </c>
    </row>
    <row r="21" customFormat="false" ht="15" hidden="false" customHeight="false" outlineLevel="0" collapsed="false">
      <c r="A21" s="4" t="s">
        <v>598</v>
      </c>
      <c r="B21" s="4" t="s">
        <v>607</v>
      </c>
      <c r="C21" s="4" t="s">
        <v>608</v>
      </c>
      <c r="D21" s="4" t="s">
        <v>609</v>
      </c>
      <c r="E21" s="4" t="s">
        <v>303</v>
      </c>
      <c r="F21" s="4" t="s">
        <v>26</v>
      </c>
    </row>
    <row r="22" customFormat="false" ht="15" hidden="false" customHeight="false" outlineLevel="0" collapsed="false">
      <c r="A22" s="4" t="s">
        <v>307</v>
      </c>
      <c r="B22" s="4" t="s">
        <v>610</v>
      </c>
      <c r="C22" s="4" t="s">
        <v>611</v>
      </c>
      <c r="D22" s="4" t="s">
        <v>571</v>
      </c>
      <c r="E22" s="4" t="s">
        <v>306</v>
      </c>
      <c r="F22" s="4" t="s">
        <v>26</v>
      </c>
    </row>
    <row r="23" customFormat="false" ht="15" hidden="false" customHeight="false" outlineLevel="0" collapsed="false">
      <c r="A23" s="4" t="s">
        <v>307</v>
      </c>
      <c r="B23" s="4" t="s">
        <v>612</v>
      </c>
      <c r="C23" s="4" t="s">
        <v>613</v>
      </c>
      <c r="D23" s="4" t="s">
        <v>571</v>
      </c>
      <c r="E23" s="4" t="s">
        <v>306</v>
      </c>
      <c r="F23" s="4" t="s">
        <v>26</v>
      </c>
    </row>
    <row r="24" customFormat="false" ht="15" hidden="false" customHeight="false" outlineLevel="0" collapsed="false">
      <c r="A24" s="4" t="s">
        <v>307</v>
      </c>
      <c r="B24" s="4" t="s">
        <v>614</v>
      </c>
      <c r="C24" s="4" t="s">
        <v>615</v>
      </c>
      <c r="D24" s="4" t="s">
        <v>571</v>
      </c>
      <c r="E24" s="4" t="s">
        <v>306</v>
      </c>
      <c r="F24" s="4" t="s">
        <v>26</v>
      </c>
    </row>
    <row r="25" customFormat="false" ht="15" hidden="false" customHeight="false" outlineLevel="0" collapsed="false">
      <c r="A25" s="4" t="s">
        <v>307</v>
      </c>
      <c r="B25" s="4" t="s">
        <v>616</v>
      </c>
      <c r="C25" s="4" t="s">
        <v>617</v>
      </c>
      <c r="D25" s="4" t="s">
        <v>571</v>
      </c>
      <c r="E25" s="4" t="s">
        <v>306</v>
      </c>
      <c r="F25" s="4" t="s">
        <v>26</v>
      </c>
    </row>
    <row r="26" customFormat="false" ht="15" hidden="false" customHeight="false" outlineLevel="0" collapsed="false">
      <c r="A26" s="4" t="s">
        <v>307</v>
      </c>
      <c r="B26" s="4" t="s">
        <v>618</v>
      </c>
      <c r="C26" s="4" t="s">
        <v>619</v>
      </c>
      <c r="D26" s="4" t="s">
        <v>571</v>
      </c>
      <c r="E26" s="4" t="s">
        <v>306</v>
      </c>
      <c r="F26" s="4" t="s">
        <v>26</v>
      </c>
    </row>
    <row r="27" customFormat="false" ht="15" hidden="false" customHeight="false" outlineLevel="0" collapsed="false">
      <c r="A27" s="4" t="s">
        <v>307</v>
      </c>
      <c r="B27" s="4" t="s">
        <v>620</v>
      </c>
      <c r="C27" s="4" t="s">
        <v>621</v>
      </c>
      <c r="D27" s="4" t="s">
        <v>609</v>
      </c>
      <c r="E27" s="4" t="s">
        <v>306</v>
      </c>
      <c r="F27" s="4" t="s">
        <v>26</v>
      </c>
    </row>
    <row r="28" customFormat="false" ht="15" hidden="false" customHeight="false" outlineLevel="0" collapsed="false">
      <c r="A28" s="4" t="s">
        <v>307</v>
      </c>
      <c r="B28" s="4" t="s">
        <v>202</v>
      </c>
      <c r="C28" s="4" t="s">
        <v>622</v>
      </c>
      <c r="D28" s="4" t="s">
        <v>571</v>
      </c>
      <c r="E28" s="4" t="s">
        <v>199</v>
      </c>
      <c r="F28" s="4" t="s">
        <v>28</v>
      </c>
    </row>
    <row r="29" customFormat="false" ht="15" hidden="false" customHeight="false" outlineLevel="0" collapsed="false">
      <c r="A29" s="4" t="s">
        <v>323</v>
      </c>
      <c r="B29" s="4" t="s">
        <v>623</v>
      </c>
      <c r="C29" s="4" t="s">
        <v>624</v>
      </c>
      <c r="D29" s="4" t="s">
        <v>571</v>
      </c>
      <c r="E29" s="4" t="s">
        <v>321</v>
      </c>
      <c r="F29" s="4" t="s">
        <v>26</v>
      </c>
    </row>
    <row r="30" customFormat="false" ht="15" hidden="false" customHeight="false" outlineLevel="0" collapsed="false">
      <c r="A30" s="4" t="s">
        <v>323</v>
      </c>
      <c r="B30" s="4" t="s">
        <v>625</v>
      </c>
      <c r="C30" s="4" t="s">
        <v>626</v>
      </c>
      <c r="D30" s="4" t="s">
        <v>571</v>
      </c>
      <c r="E30" s="4" t="s">
        <v>321</v>
      </c>
      <c r="F30" s="4" t="s">
        <v>26</v>
      </c>
    </row>
    <row r="31" customFormat="false" ht="15" hidden="false" customHeight="false" outlineLevel="0" collapsed="false">
      <c r="A31" s="4" t="s">
        <v>323</v>
      </c>
      <c r="B31" s="4" t="s">
        <v>627</v>
      </c>
      <c r="C31" s="4" t="s">
        <v>628</v>
      </c>
      <c r="D31" s="4" t="s">
        <v>571</v>
      </c>
      <c r="E31" s="4" t="s">
        <v>321</v>
      </c>
      <c r="F31" s="4" t="s">
        <v>26</v>
      </c>
    </row>
    <row r="32" customFormat="false" ht="15" hidden="false" customHeight="false" outlineLevel="0" collapsed="false">
      <c r="A32" s="4" t="s">
        <v>323</v>
      </c>
      <c r="B32" s="4" t="s">
        <v>629</v>
      </c>
      <c r="C32" s="4" t="s">
        <v>630</v>
      </c>
      <c r="D32" s="4" t="s">
        <v>571</v>
      </c>
      <c r="E32" s="4" t="s">
        <v>321</v>
      </c>
      <c r="F32" s="4" t="s">
        <v>26</v>
      </c>
    </row>
    <row r="33" customFormat="false" ht="15" hidden="false" customHeight="false" outlineLevel="0" collapsed="false">
      <c r="A33" s="4" t="s">
        <v>327</v>
      </c>
      <c r="B33" s="4" t="s">
        <v>631</v>
      </c>
      <c r="C33" s="4" t="s">
        <v>632</v>
      </c>
      <c r="D33" s="4" t="s">
        <v>571</v>
      </c>
      <c r="E33" s="4" t="s">
        <v>326</v>
      </c>
      <c r="F33" s="4" t="s">
        <v>26</v>
      </c>
    </row>
    <row r="34" customFormat="false" ht="15" hidden="false" customHeight="false" outlineLevel="0" collapsed="false">
      <c r="A34" s="4" t="s">
        <v>32</v>
      </c>
      <c r="B34" s="4" t="s">
        <v>633</v>
      </c>
      <c r="C34" s="4" t="s">
        <v>634</v>
      </c>
      <c r="D34" s="4" t="s">
        <v>609</v>
      </c>
      <c r="E34" s="4" t="s">
        <v>330</v>
      </c>
      <c r="F34" s="4" t="s">
        <v>26</v>
      </c>
    </row>
    <row r="35" customFormat="false" ht="15" hidden="false" customHeight="false" outlineLevel="0" collapsed="false">
      <c r="A35" s="4" t="s">
        <v>32</v>
      </c>
      <c r="B35" s="4" t="s">
        <v>635</v>
      </c>
      <c r="C35" s="4" t="s">
        <v>636</v>
      </c>
      <c r="D35" s="4" t="s">
        <v>609</v>
      </c>
      <c r="E35" s="4" t="s">
        <v>335</v>
      </c>
      <c r="F35" s="4" t="s">
        <v>26</v>
      </c>
    </row>
    <row r="36" customFormat="false" ht="15" hidden="false" customHeight="false" outlineLevel="0" collapsed="false">
      <c r="A36" s="4" t="s">
        <v>32</v>
      </c>
      <c r="B36" s="4" t="s">
        <v>637</v>
      </c>
      <c r="C36" s="4" t="s">
        <v>638</v>
      </c>
      <c r="D36" s="4" t="s">
        <v>609</v>
      </c>
      <c r="E36" s="4" t="s">
        <v>335</v>
      </c>
      <c r="F36" s="4" t="s">
        <v>26</v>
      </c>
    </row>
    <row r="37" customFormat="false" ht="15" hidden="false" customHeight="false" outlineLevel="0" collapsed="false">
      <c r="A37" s="4" t="s">
        <v>639</v>
      </c>
      <c r="B37" s="4" t="s">
        <v>640</v>
      </c>
      <c r="C37" s="4" t="s">
        <v>641</v>
      </c>
      <c r="D37" s="4" t="s">
        <v>609</v>
      </c>
      <c r="E37" s="4" t="s">
        <v>339</v>
      </c>
      <c r="F37" s="4" t="s">
        <v>26</v>
      </c>
    </row>
    <row r="38" customFormat="false" ht="15" hidden="false" customHeight="false" outlineLevel="0" collapsed="false">
      <c r="A38" s="4" t="s">
        <v>639</v>
      </c>
      <c r="B38" s="4" t="s">
        <v>642</v>
      </c>
      <c r="C38" s="4" t="s">
        <v>643</v>
      </c>
      <c r="D38" s="4" t="s">
        <v>609</v>
      </c>
      <c r="E38" s="4" t="s">
        <v>343</v>
      </c>
      <c r="F38" s="4" t="s">
        <v>26</v>
      </c>
    </row>
    <row r="39" customFormat="false" ht="15" hidden="false" customHeight="false" outlineLevel="0" collapsed="false">
      <c r="A39" s="4" t="s">
        <v>644</v>
      </c>
      <c r="B39" s="4" t="s">
        <v>645</v>
      </c>
      <c r="C39" s="4" t="s">
        <v>646</v>
      </c>
      <c r="D39" s="4" t="s">
        <v>571</v>
      </c>
      <c r="E39" s="4" t="s">
        <v>309</v>
      </c>
      <c r="F39" s="4" t="s">
        <v>26</v>
      </c>
    </row>
    <row r="40" customFormat="false" ht="15" hidden="false" customHeight="false" outlineLevel="0" collapsed="false">
      <c r="A40" s="4" t="s">
        <v>644</v>
      </c>
      <c r="B40" s="4" t="s">
        <v>647</v>
      </c>
      <c r="C40" s="4" t="s">
        <v>648</v>
      </c>
      <c r="D40" s="4" t="s">
        <v>571</v>
      </c>
      <c r="E40" s="4" t="s">
        <v>346</v>
      </c>
      <c r="F40" s="4" t="s">
        <v>26</v>
      </c>
    </row>
    <row r="41" customFormat="false" ht="15" hidden="false" customHeight="false" outlineLevel="0" collapsed="false">
      <c r="A41" s="4" t="s">
        <v>644</v>
      </c>
      <c r="B41" s="4" t="s">
        <v>649</v>
      </c>
      <c r="C41" s="4" t="s">
        <v>650</v>
      </c>
      <c r="D41" s="4" t="s">
        <v>651</v>
      </c>
      <c r="E41" s="4" t="s">
        <v>346</v>
      </c>
      <c r="F41" s="4" t="s">
        <v>26</v>
      </c>
    </row>
    <row r="42" customFormat="false" ht="15" hidden="false" customHeight="false" outlineLevel="0" collapsed="false">
      <c r="A42" s="4" t="s">
        <v>30</v>
      </c>
      <c r="B42" s="4" t="s">
        <v>652</v>
      </c>
      <c r="C42" s="4" t="s">
        <v>653</v>
      </c>
      <c r="D42" s="4" t="s">
        <v>571</v>
      </c>
      <c r="E42" s="4" t="s">
        <v>349</v>
      </c>
      <c r="F42" s="4" t="s">
        <v>26</v>
      </c>
    </row>
    <row r="43" customFormat="false" ht="15" hidden="false" customHeight="false" outlineLevel="0" collapsed="false">
      <c r="A43" s="4" t="s">
        <v>654</v>
      </c>
      <c r="B43" s="4" t="s">
        <v>655</v>
      </c>
      <c r="C43" s="4" t="s">
        <v>656</v>
      </c>
      <c r="D43" s="4" t="s">
        <v>571</v>
      </c>
      <c r="E43" s="4" t="s">
        <v>313</v>
      </c>
      <c r="F43" s="4" t="s">
        <v>26</v>
      </c>
    </row>
    <row r="44" customFormat="false" ht="15" hidden="false" customHeight="false" outlineLevel="0" collapsed="false">
      <c r="A44" s="4" t="s">
        <v>654</v>
      </c>
      <c r="B44" s="4" t="s">
        <v>657</v>
      </c>
      <c r="C44" s="4" t="s">
        <v>658</v>
      </c>
      <c r="D44" s="4" t="s">
        <v>571</v>
      </c>
      <c r="E44" s="4" t="s">
        <v>352</v>
      </c>
      <c r="F44" s="4" t="s">
        <v>34</v>
      </c>
    </row>
  </sheetData>
  <autoFilter ref="A4:F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5" min="4" style="0" width="30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659</v>
      </c>
    </row>
    <row r="4" customFormat="false" ht="30" hidden="false" customHeight="true" outlineLevel="0" collapsed="false">
      <c r="A4" s="3" t="s">
        <v>660</v>
      </c>
      <c r="B4" s="3" t="s">
        <v>505</v>
      </c>
      <c r="C4" s="3" t="s">
        <v>661</v>
      </c>
      <c r="D4" s="3" t="s">
        <v>662</v>
      </c>
      <c r="E4" s="3" t="s">
        <v>663</v>
      </c>
      <c r="F4" s="3" t="s">
        <v>664</v>
      </c>
    </row>
    <row r="5" customFormat="false" ht="15" hidden="false" customHeight="false" outlineLevel="0" collapsed="false">
      <c r="A5" s="4" t="s">
        <v>665</v>
      </c>
      <c r="B5" s="4" t="s">
        <v>666</v>
      </c>
      <c r="C5" s="4" t="s">
        <v>667</v>
      </c>
      <c r="D5" s="4" t="s">
        <v>668</v>
      </c>
      <c r="E5" s="4" t="s">
        <v>669</v>
      </c>
      <c r="F5" s="4" t="s">
        <v>670</v>
      </c>
    </row>
    <row r="6" customFormat="false" ht="15" hidden="false" customHeight="false" outlineLevel="0" collapsed="false">
      <c r="A6" s="4" t="s">
        <v>671</v>
      </c>
      <c r="B6" s="4" t="s">
        <v>672</v>
      </c>
      <c r="C6" s="4" t="s">
        <v>673</v>
      </c>
      <c r="D6" s="4" t="s">
        <v>674</v>
      </c>
      <c r="E6" s="4" t="s">
        <v>675</v>
      </c>
      <c r="F6" s="4" t="s">
        <v>676</v>
      </c>
    </row>
    <row r="7" customFormat="false" ht="15" hidden="false" customHeight="false" outlineLevel="0" collapsed="false">
      <c r="A7" s="4" t="s">
        <v>677</v>
      </c>
      <c r="B7" s="4" t="s">
        <v>672</v>
      </c>
      <c r="C7" s="4" t="s">
        <v>678</v>
      </c>
      <c r="D7" s="4" t="s">
        <v>679</v>
      </c>
      <c r="E7" s="4" t="s">
        <v>680</v>
      </c>
      <c r="F7" s="4" t="s">
        <v>681</v>
      </c>
    </row>
    <row r="8" customFormat="false" ht="15" hidden="false" customHeight="false" outlineLevel="0" collapsed="false">
      <c r="A8" s="4" t="s">
        <v>682</v>
      </c>
      <c r="B8" s="4" t="s">
        <v>672</v>
      </c>
      <c r="C8" s="4" t="s">
        <v>683</v>
      </c>
      <c r="D8" s="4" t="s">
        <v>684</v>
      </c>
      <c r="E8" s="4" t="s">
        <v>685</v>
      </c>
      <c r="F8" s="4" t="s">
        <v>676</v>
      </c>
    </row>
    <row r="9" customFormat="false" ht="15" hidden="false" customHeight="false" outlineLevel="0" collapsed="false">
      <c r="A9" s="4" t="s">
        <v>686</v>
      </c>
      <c r="B9" s="4" t="s">
        <v>687</v>
      </c>
      <c r="C9" s="4" t="s">
        <v>688</v>
      </c>
      <c r="D9" s="4" t="s">
        <v>689</v>
      </c>
      <c r="E9" s="4" t="s">
        <v>690</v>
      </c>
      <c r="F9" s="4" t="s">
        <v>691</v>
      </c>
    </row>
    <row r="10" customFormat="false" ht="15" hidden="false" customHeight="false" outlineLevel="0" collapsed="false">
      <c r="A10" s="4" t="s">
        <v>692</v>
      </c>
      <c r="B10" s="4" t="s">
        <v>672</v>
      </c>
      <c r="C10" s="4" t="s">
        <v>693</v>
      </c>
      <c r="D10" s="4" t="s">
        <v>684</v>
      </c>
      <c r="E10" s="4" t="s">
        <v>694</v>
      </c>
      <c r="F10" s="4" t="s">
        <v>676</v>
      </c>
    </row>
    <row r="11" customFormat="false" ht="15" hidden="false" customHeight="false" outlineLevel="0" collapsed="false">
      <c r="A11" s="4" t="s">
        <v>695</v>
      </c>
      <c r="B11" s="4" t="s">
        <v>696</v>
      </c>
      <c r="C11" s="4" t="s">
        <v>697</v>
      </c>
      <c r="D11" s="4" t="s">
        <v>698</v>
      </c>
      <c r="E11" s="4" t="s">
        <v>699</v>
      </c>
      <c r="F11" s="4" t="s">
        <v>676</v>
      </c>
    </row>
    <row r="12" customFormat="false" ht="15" hidden="false" customHeight="false" outlineLevel="0" collapsed="false">
      <c r="A12" s="4" t="s">
        <v>700</v>
      </c>
      <c r="B12" s="4" t="s">
        <v>701</v>
      </c>
      <c r="C12" s="4" t="s">
        <v>702</v>
      </c>
      <c r="D12" s="4" t="s">
        <v>689</v>
      </c>
      <c r="E12" s="4" t="s">
        <v>703</v>
      </c>
      <c r="F12" s="4" t="s">
        <v>676</v>
      </c>
    </row>
    <row r="13" customFormat="false" ht="15" hidden="false" customHeight="false" outlineLevel="0" collapsed="false">
      <c r="A13" s="4" t="s">
        <v>704</v>
      </c>
      <c r="B13" s="4" t="s">
        <v>687</v>
      </c>
      <c r="C13" s="4" t="s">
        <v>705</v>
      </c>
      <c r="D13" s="4" t="s">
        <v>381</v>
      </c>
      <c r="E13" s="4" t="s">
        <v>706</v>
      </c>
      <c r="F13" s="4" t="s">
        <v>707</v>
      </c>
    </row>
  </sheetData>
  <autoFilter ref="A4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2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708</v>
      </c>
    </row>
    <row r="4" customFormat="false" ht="30" hidden="false" customHeight="true" outlineLevel="0" collapsed="false">
      <c r="A4" s="3" t="s">
        <v>709</v>
      </c>
      <c r="B4" s="3" t="s">
        <v>710</v>
      </c>
      <c r="C4" s="3" t="s">
        <v>711</v>
      </c>
      <c r="D4" s="3" t="s">
        <v>131</v>
      </c>
      <c r="E4" s="3" t="s">
        <v>661</v>
      </c>
    </row>
    <row r="5" customFormat="false" ht="15" hidden="false" customHeight="false" outlineLevel="0" collapsed="false">
      <c r="A5" s="4" t="s">
        <v>712</v>
      </c>
      <c r="B5" s="4" t="s">
        <v>713</v>
      </c>
      <c r="C5" s="4" t="s">
        <v>714</v>
      </c>
      <c r="D5" s="4" t="s">
        <v>32</v>
      </c>
      <c r="E5" s="4" t="s">
        <v>715</v>
      </c>
    </row>
    <row r="6" customFormat="false" ht="23.85" hidden="false" customHeight="false" outlineLevel="0" collapsed="false">
      <c r="A6" s="4" t="s">
        <v>716</v>
      </c>
      <c r="B6" s="4" t="s">
        <v>717</v>
      </c>
      <c r="C6" s="4" t="s">
        <v>589</v>
      </c>
      <c r="D6" s="4" t="s">
        <v>32</v>
      </c>
      <c r="E6" s="4" t="s">
        <v>718</v>
      </c>
    </row>
    <row r="7" customFormat="false" ht="15" hidden="false" customHeight="false" outlineLevel="0" collapsed="false">
      <c r="A7" s="4" t="s">
        <v>719</v>
      </c>
      <c r="B7" s="4" t="s">
        <v>720</v>
      </c>
      <c r="C7" s="4" t="s">
        <v>589</v>
      </c>
      <c r="D7" s="4" t="s">
        <v>32</v>
      </c>
      <c r="E7" s="4" t="s">
        <v>721</v>
      </c>
    </row>
    <row r="8" customFormat="false" ht="15" hidden="false" customHeight="false" outlineLevel="0" collapsed="false">
      <c r="A8" s="4" t="s">
        <v>722</v>
      </c>
      <c r="B8" s="4" t="s">
        <v>723</v>
      </c>
      <c r="C8" s="4" t="s">
        <v>202</v>
      </c>
      <c r="D8" s="4" t="s">
        <v>26</v>
      </c>
      <c r="E8" s="4" t="s">
        <v>724</v>
      </c>
    </row>
    <row r="9" customFormat="false" ht="15" hidden="false" customHeight="false" outlineLevel="0" collapsed="false">
      <c r="A9" s="4" t="s">
        <v>725</v>
      </c>
      <c r="B9" s="4" t="s">
        <v>726</v>
      </c>
      <c r="C9" s="4" t="s">
        <v>727</v>
      </c>
      <c r="D9" s="4" t="s">
        <v>26</v>
      </c>
      <c r="E9" s="4" t="s">
        <v>728</v>
      </c>
    </row>
    <row r="10" customFormat="false" ht="15" hidden="false" customHeight="false" outlineLevel="0" collapsed="false">
      <c r="A10" s="4" t="s">
        <v>729</v>
      </c>
      <c r="B10" s="4" t="s">
        <v>730</v>
      </c>
      <c r="C10" s="4" t="s">
        <v>589</v>
      </c>
      <c r="D10" s="4" t="s">
        <v>731</v>
      </c>
      <c r="E10" s="4" t="s">
        <v>732</v>
      </c>
    </row>
    <row r="11" customFormat="false" ht="23.85" hidden="false" customHeight="false" outlineLevel="0" collapsed="false">
      <c r="A11" s="4" t="s">
        <v>733</v>
      </c>
      <c r="B11" s="4" t="s">
        <v>734</v>
      </c>
      <c r="C11" s="4" t="s">
        <v>589</v>
      </c>
      <c r="D11" s="4" t="s">
        <v>731</v>
      </c>
      <c r="E11" s="4" t="s">
        <v>735</v>
      </c>
    </row>
    <row r="12" customFormat="false" ht="15" hidden="false" customHeight="false" outlineLevel="0" collapsed="false">
      <c r="A12" s="4" t="s">
        <v>736</v>
      </c>
      <c r="B12" s="4" t="s">
        <v>737</v>
      </c>
      <c r="C12" s="4" t="s">
        <v>738</v>
      </c>
      <c r="D12" s="4" t="s">
        <v>26</v>
      </c>
      <c r="E12" s="4" t="s">
        <v>359</v>
      </c>
    </row>
    <row r="13" customFormat="false" ht="15" hidden="false" customHeight="false" outlineLevel="0" collapsed="false">
      <c r="A13" s="4" t="s">
        <v>739</v>
      </c>
      <c r="B13" s="4" t="s">
        <v>740</v>
      </c>
      <c r="C13" s="4" t="s">
        <v>741</v>
      </c>
      <c r="D13" s="4" t="s">
        <v>26</v>
      </c>
      <c r="E13" s="4" t="s">
        <v>742</v>
      </c>
    </row>
    <row r="14" customFormat="false" ht="15" hidden="false" customHeight="false" outlineLevel="0" collapsed="false">
      <c r="A14" s="4" t="s">
        <v>743</v>
      </c>
      <c r="B14" s="4" t="s">
        <v>744</v>
      </c>
      <c r="C14" s="4" t="s">
        <v>727</v>
      </c>
      <c r="D14" s="4" t="s">
        <v>745</v>
      </c>
      <c r="E14" s="4" t="s">
        <v>746</v>
      </c>
    </row>
    <row r="15" customFormat="false" ht="15" hidden="false" customHeight="false" outlineLevel="0" collapsed="false">
      <c r="A15" s="4" t="s">
        <v>116</v>
      </c>
      <c r="B15" s="4" t="s">
        <v>747</v>
      </c>
      <c r="C15" s="4" t="s">
        <v>727</v>
      </c>
      <c r="D15" s="4" t="s">
        <v>748</v>
      </c>
      <c r="E15" s="4" t="s">
        <v>749</v>
      </c>
    </row>
    <row r="16" customFormat="false" ht="15" hidden="false" customHeight="false" outlineLevel="0" collapsed="false">
      <c r="A16" s="4" t="s">
        <v>432</v>
      </c>
      <c r="B16" s="4" t="s">
        <v>750</v>
      </c>
      <c r="C16" s="4" t="s">
        <v>727</v>
      </c>
      <c r="D16" s="4" t="s">
        <v>26</v>
      </c>
      <c r="E16" s="4" t="s">
        <v>751</v>
      </c>
    </row>
    <row r="17" customFormat="false" ht="23.85" hidden="false" customHeight="false" outlineLevel="0" collapsed="false">
      <c r="A17" s="4" t="s">
        <v>752</v>
      </c>
      <c r="B17" s="4" t="s">
        <v>753</v>
      </c>
      <c r="C17" s="4" t="s">
        <v>444</v>
      </c>
      <c r="D17" s="4" t="s">
        <v>32</v>
      </c>
      <c r="E17" s="4" t="s">
        <v>754</v>
      </c>
    </row>
  </sheetData>
  <autoFilter ref="A4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5" min="5" style="0" width="38"/>
    <col collapsed="false" customWidth="true" hidden="false" outlineLevel="0" max="6" min="6" style="0" width="8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" t="s">
        <v>755</v>
      </c>
    </row>
    <row r="2" customFormat="false" ht="15" hidden="false" customHeight="false" outlineLevel="0" collapsed="false">
      <c r="A2" s="2" t="s">
        <v>756</v>
      </c>
    </row>
    <row r="4" customFormat="false" ht="30" hidden="false" customHeight="true" outlineLevel="0" collapsed="false">
      <c r="A4" s="3" t="s">
        <v>757</v>
      </c>
      <c r="B4" s="3" t="s">
        <v>758</v>
      </c>
      <c r="C4" s="3" t="s">
        <v>759</v>
      </c>
      <c r="D4" s="3" t="s">
        <v>760</v>
      </c>
      <c r="E4" s="3" t="s">
        <v>761</v>
      </c>
      <c r="F4" s="3" t="s">
        <v>762</v>
      </c>
      <c r="G4" s="3" t="s">
        <v>363</v>
      </c>
    </row>
    <row r="5" customFormat="false" ht="23.85" hidden="false" customHeight="false" outlineLevel="0" collapsed="false">
      <c r="A5" s="4" t="s">
        <v>763</v>
      </c>
      <c r="B5" s="9" t="n">
        <v>2</v>
      </c>
      <c r="C5" s="4" t="s">
        <v>764</v>
      </c>
      <c r="D5" s="9" t="n">
        <v>2</v>
      </c>
      <c r="E5" s="4" t="s">
        <v>765</v>
      </c>
      <c r="F5" s="9" t="n">
        <v>1</v>
      </c>
      <c r="G5" s="4" t="s">
        <v>766</v>
      </c>
    </row>
    <row r="6" customFormat="false" ht="23.85" hidden="false" customHeight="false" outlineLevel="0" collapsed="false">
      <c r="A6" s="4" t="s">
        <v>767</v>
      </c>
      <c r="B6" s="9" t="n">
        <v>2</v>
      </c>
      <c r="C6" s="4" t="s">
        <v>768</v>
      </c>
      <c r="D6" s="9" t="n">
        <v>1</v>
      </c>
      <c r="E6" s="4" t="s">
        <v>769</v>
      </c>
      <c r="F6" s="9" t="n">
        <v>1</v>
      </c>
      <c r="G6" s="4" t="s">
        <v>770</v>
      </c>
    </row>
    <row r="7" customFormat="false" ht="15" hidden="false" customHeight="false" outlineLevel="0" collapsed="false">
      <c r="A7" s="4" t="s">
        <v>771</v>
      </c>
      <c r="B7" s="9" t="n">
        <v>1</v>
      </c>
      <c r="C7" s="4" t="s">
        <v>772</v>
      </c>
      <c r="D7" s="9" t="n">
        <v>2</v>
      </c>
      <c r="E7" s="4" t="s">
        <v>773</v>
      </c>
      <c r="F7" s="9" t="n">
        <v>0</v>
      </c>
      <c r="G7" s="4" t="s">
        <v>774</v>
      </c>
    </row>
    <row r="8" customFormat="false" ht="23.85" hidden="false" customHeight="false" outlineLevel="0" collapsed="false">
      <c r="A8" s="4" t="s">
        <v>775</v>
      </c>
      <c r="B8" s="9" t="n">
        <v>0</v>
      </c>
      <c r="C8" s="4" t="s">
        <v>776</v>
      </c>
      <c r="D8" s="9" t="n">
        <v>2</v>
      </c>
      <c r="E8" s="4" t="s">
        <v>777</v>
      </c>
      <c r="F8" s="9" t="n">
        <v>1</v>
      </c>
      <c r="G8" s="4" t="s">
        <v>778</v>
      </c>
    </row>
    <row r="9" customFormat="false" ht="15" hidden="false" customHeight="false" outlineLevel="0" collapsed="false">
      <c r="A9" s="4" t="s">
        <v>779</v>
      </c>
      <c r="B9" s="9" t="n">
        <v>1</v>
      </c>
      <c r="C9" s="4" t="s">
        <v>780</v>
      </c>
      <c r="D9" s="9" t="n">
        <v>2</v>
      </c>
      <c r="E9" s="4" t="s">
        <v>781</v>
      </c>
      <c r="F9" s="9" t="n">
        <v>2</v>
      </c>
      <c r="G9" s="4" t="s">
        <v>781</v>
      </c>
    </row>
    <row r="10" customFormat="false" ht="15" hidden="false" customHeight="false" outlineLevel="0" collapsed="false">
      <c r="A10" s="4" t="s">
        <v>782</v>
      </c>
      <c r="B10" s="9" t="n">
        <v>1</v>
      </c>
      <c r="C10" s="4" t="s">
        <v>783</v>
      </c>
      <c r="D10" s="9" t="n">
        <v>2</v>
      </c>
      <c r="E10" s="4" t="s">
        <v>784</v>
      </c>
      <c r="F10" s="9" t="n">
        <v>2</v>
      </c>
      <c r="G10" s="4" t="s">
        <v>785</v>
      </c>
    </row>
    <row r="11" customFormat="false" ht="15" hidden="false" customHeight="false" outlineLevel="0" collapsed="false">
      <c r="A11" s="4" t="s">
        <v>786</v>
      </c>
      <c r="B11" s="9" t="n">
        <v>2</v>
      </c>
      <c r="C11" s="4" t="s">
        <v>787</v>
      </c>
      <c r="D11" s="9" t="n">
        <v>1</v>
      </c>
      <c r="E11" s="4" t="s">
        <v>788</v>
      </c>
      <c r="F11" s="9" t="n">
        <v>1</v>
      </c>
      <c r="G11" s="4" t="s">
        <v>788</v>
      </c>
    </row>
    <row r="12" customFormat="false" ht="15" hidden="false" customHeight="false" outlineLevel="0" collapsed="false">
      <c r="A12" s="4" t="s">
        <v>789</v>
      </c>
      <c r="B12" s="9" t="n">
        <v>2</v>
      </c>
      <c r="C12" s="4" t="s">
        <v>790</v>
      </c>
      <c r="D12" s="9" t="n">
        <v>0</v>
      </c>
      <c r="E12" s="4" t="s">
        <v>791</v>
      </c>
      <c r="F12" s="9" t="n">
        <v>0</v>
      </c>
      <c r="G12" s="4" t="s">
        <v>792</v>
      </c>
    </row>
    <row r="13" customFormat="false" ht="15" hidden="false" customHeight="false" outlineLevel="0" collapsed="false">
      <c r="A13" s="4" t="s">
        <v>793</v>
      </c>
      <c r="B13" s="9" t="n">
        <v>2</v>
      </c>
      <c r="C13" s="4" t="s">
        <v>794</v>
      </c>
      <c r="D13" s="9" t="n">
        <v>1</v>
      </c>
      <c r="E13" s="4" t="s">
        <v>795</v>
      </c>
      <c r="F13" s="9" t="n">
        <v>1</v>
      </c>
      <c r="G13" s="4" t="s">
        <v>795</v>
      </c>
    </row>
    <row r="14" customFormat="false" ht="15" hidden="false" customHeight="false" outlineLevel="0" collapsed="false">
      <c r="A14" s="4" t="s">
        <v>796</v>
      </c>
      <c r="B14" s="9" t="n">
        <v>1</v>
      </c>
      <c r="C14" s="4" t="s">
        <v>797</v>
      </c>
      <c r="D14" s="9" t="n">
        <v>0</v>
      </c>
      <c r="E14" s="4" t="s">
        <v>798</v>
      </c>
      <c r="F14" s="9" t="n">
        <v>2</v>
      </c>
      <c r="G14" s="4" t="s">
        <v>799</v>
      </c>
    </row>
    <row r="15" customFormat="false" ht="15" hidden="false" customHeight="false" outlineLevel="0" collapsed="false">
      <c r="A15" s="4" t="s">
        <v>800</v>
      </c>
      <c r="B15" s="9" t="n">
        <v>0</v>
      </c>
      <c r="C15" s="4" t="s">
        <v>801</v>
      </c>
      <c r="D15" s="9" t="n">
        <v>2</v>
      </c>
      <c r="E15" s="4" t="s">
        <v>802</v>
      </c>
      <c r="F15" s="9" t="n">
        <v>2</v>
      </c>
      <c r="G15" s="4" t="s">
        <v>803</v>
      </c>
    </row>
    <row r="16" customFormat="false" ht="15" hidden="false" customHeight="false" outlineLevel="0" collapsed="false">
      <c r="A16" s="16" t="s">
        <v>804</v>
      </c>
      <c r="B16" s="17" t="n">
        <f aca="false">SUM(B5:B15)</f>
        <v>14</v>
      </c>
      <c r="C16" s="16"/>
      <c r="D16" s="17" t="n">
        <f aca="false">SUM(D5:D15)</f>
        <v>15</v>
      </c>
      <c r="E16" s="16"/>
      <c r="F16" s="17" t="n">
        <f aca="false">SUM(F5:F15)</f>
        <v>13</v>
      </c>
      <c r="G16" s="16"/>
    </row>
    <row r="19" customFormat="false" ht="15" hidden="false" customHeight="false" outlineLevel="0" collapsed="false">
      <c r="A19" s="18" t="s">
        <v>805</v>
      </c>
    </row>
    <row r="20" customFormat="false" ht="30" hidden="false" customHeight="true" outlineLevel="0" collapsed="false">
      <c r="A20" s="19" t="s">
        <v>806</v>
      </c>
      <c r="B20" s="19"/>
      <c r="C20" s="19" t="s">
        <v>807</v>
      </c>
      <c r="D20" s="19"/>
      <c r="E20" s="19"/>
      <c r="F20" s="19"/>
      <c r="G20" s="19"/>
    </row>
    <row r="21" customFormat="false" ht="42" hidden="false" customHeight="true" outlineLevel="0" collapsed="false">
      <c r="A21" s="20" t="s">
        <v>759</v>
      </c>
      <c r="B21" s="4"/>
      <c r="C21" s="4" t="s">
        <v>808</v>
      </c>
      <c r="D21" s="4"/>
      <c r="E21" s="4"/>
      <c r="F21" s="4"/>
      <c r="G21" s="4"/>
    </row>
    <row r="22" customFormat="false" ht="42" hidden="false" customHeight="true" outlineLevel="0" collapsed="false">
      <c r="A22" s="20" t="s">
        <v>761</v>
      </c>
      <c r="B22" s="4"/>
      <c r="C22" s="4" t="s">
        <v>809</v>
      </c>
      <c r="D22" s="4"/>
      <c r="E22" s="4"/>
      <c r="F22" s="4"/>
      <c r="G22" s="4"/>
    </row>
    <row r="23" customFormat="false" ht="42" hidden="false" customHeight="true" outlineLevel="0" collapsed="false">
      <c r="A23" s="20" t="s">
        <v>363</v>
      </c>
      <c r="B23" s="4"/>
      <c r="C23" s="4" t="s">
        <v>810</v>
      </c>
      <c r="D23" s="4"/>
      <c r="E23" s="4"/>
      <c r="F23" s="4"/>
      <c r="G23" s="4"/>
    </row>
    <row r="24" customFormat="false" ht="42" hidden="false" customHeight="true" outlineLevel="0" collapsed="false">
      <c r="A24" s="20" t="s">
        <v>811</v>
      </c>
      <c r="B24" s="4"/>
      <c r="C24" s="4" t="s">
        <v>812</v>
      </c>
      <c r="D24" s="4"/>
      <c r="E24" s="4"/>
      <c r="F24" s="4"/>
      <c r="G24" s="4"/>
    </row>
    <row r="26" customFormat="false" ht="15" hidden="false" customHeight="false" outlineLevel="0" collapsed="false">
      <c r="A26" s="21" t="s">
        <v>813</v>
      </c>
    </row>
  </sheetData>
  <mergeCells count="5">
    <mergeCell ref="C20:G20"/>
    <mergeCell ref="C21:G21"/>
    <mergeCell ref="C22:G22"/>
    <mergeCell ref="C23:G23"/>
    <mergeCell ref="C24:G24"/>
  </mergeCells>
  <conditionalFormatting sqref="B5:F15">
    <cfRule type="expression" priority="2" aboveAverage="0" equalAverage="0" bottom="0" percent="0" rank="0" text="" dxfId="7">
      <formula>AND(ISNUMBER(B5),B5=0)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814</v>
      </c>
    </row>
    <row r="4" customFormat="false" ht="30" hidden="false" customHeight="true" outlineLevel="0" collapsed="false">
      <c r="A4" s="3" t="s">
        <v>563</v>
      </c>
      <c r="B4" s="3" t="s">
        <v>564</v>
      </c>
      <c r="C4" s="3" t="s">
        <v>815</v>
      </c>
    </row>
    <row r="5" customFormat="false" ht="23.85" hidden="false" customHeight="false" outlineLevel="0" collapsed="false">
      <c r="A5" s="4" t="s">
        <v>761</v>
      </c>
      <c r="B5" s="4" t="s">
        <v>816</v>
      </c>
      <c r="C5" s="4" t="s">
        <v>817</v>
      </c>
    </row>
    <row r="6" customFormat="false" ht="15" hidden="false" customHeight="false" outlineLevel="0" collapsed="false">
      <c r="A6" s="4" t="s">
        <v>761</v>
      </c>
      <c r="B6" s="4" t="s">
        <v>818</v>
      </c>
      <c r="C6" s="4" t="s">
        <v>819</v>
      </c>
    </row>
    <row r="7" customFormat="false" ht="23.85" hidden="false" customHeight="false" outlineLevel="0" collapsed="false">
      <c r="A7" s="4" t="s">
        <v>761</v>
      </c>
      <c r="B7" s="4" t="s">
        <v>820</v>
      </c>
      <c r="C7" s="4" t="s">
        <v>821</v>
      </c>
    </row>
    <row r="8" customFormat="false" ht="23.85" hidden="false" customHeight="false" outlineLevel="0" collapsed="false">
      <c r="A8" s="4" t="s">
        <v>761</v>
      </c>
      <c r="B8" s="4" t="s">
        <v>822</v>
      </c>
      <c r="C8" s="4" t="s">
        <v>823</v>
      </c>
    </row>
    <row r="9" customFormat="false" ht="15" hidden="false" customHeight="false" outlineLevel="0" collapsed="false">
      <c r="A9" s="4" t="s">
        <v>761</v>
      </c>
      <c r="B9" s="4" t="s">
        <v>824</v>
      </c>
      <c r="C9" s="4" t="s">
        <v>825</v>
      </c>
    </row>
    <row r="10" customFormat="false" ht="15" hidden="false" customHeight="false" outlineLevel="0" collapsed="false">
      <c r="A10" s="4" t="s">
        <v>761</v>
      </c>
      <c r="B10" s="4" t="s">
        <v>826</v>
      </c>
      <c r="C10" s="4" t="s">
        <v>827</v>
      </c>
    </row>
    <row r="11" customFormat="false" ht="15" hidden="false" customHeight="false" outlineLevel="0" collapsed="false">
      <c r="A11" s="4" t="s">
        <v>828</v>
      </c>
      <c r="B11" s="4" t="s">
        <v>829</v>
      </c>
      <c r="C11" s="4" t="s">
        <v>830</v>
      </c>
    </row>
    <row r="12" customFormat="false" ht="23.85" hidden="false" customHeight="false" outlineLevel="0" collapsed="false">
      <c r="A12" s="4" t="s">
        <v>831</v>
      </c>
      <c r="B12" s="4" t="s">
        <v>832</v>
      </c>
      <c r="C12" s="4" t="s">
        <v>833</v>
      </c>
    </row>
    <row r="13" customFormat="false" ht="15" hidden="false" customHeight="false" outlineLevel="0" collapsed="false">
      <c r="A13" s="4" t="s">
        <v>831</v>
      </c>
      <c r="B13" s="4" t="s">
        <v>834</v>
      </c>
      <c r="C13" s="4" t="s">
        <v>835</v>
      </c>
    </row>
    <row r="14" customFormat="false" ht="15" hidden="false" customHeight="false" outlineLevel="0" collapsed="false">
      <c r="A14" s="4" t="s">
        <v>831</v>
      </c>
      <c r="B14" s="4" t="s">
        <v>836</v>
      </c>
      <c r="C14" s="4" t="s">
        <v>837</v>
      </c>
    </row>
    <row r="15" customFormat="false" ht="15" hidden="false" customHeight="false" outlineLevel="0" collapsed="false">
      <c r="A15" s="4" t="s">
        <v>831</v>
      </c>
      <c r="B15" s="4" t="s">
        <v>838</v>
      </c>
      <c r="C15" s="4" t="s">
        <v>839</v>
      </c>
    </row>
    <row r="16" customFormat="false" ht="15" hidden="false" customHeight="false" outlineLevel="0" collapsed="false">
      <c r="A16" s="4" t="s">
        <v>831</v>
      </c>
      <c r="B16" s="4" t="s">
        <v>840</v>
      </c>
      <c r="C16" s="4" t="s">
        <v>841</v>
      </c>
    </row>
    <row r="17" customFormat="false" ht="15" hidden="false" customHeight="false" outlineLevel="0" collapsed="false">
      <c r="A17" s="4" t="s">
        <v>831</v>
      </c>
      <c r="B17" s="4" t="s">
        <v>842</v>
      </c>
      <c r="C17" s="4" t="s">
        <v>843</v>
      </c>
    </row>
    <row r="18" customFormat="false" ht="15" hidden="false" customHeight="false" outlineLevel="0" collapsed="false">
      <c r="A18" s="4" t="s">
        <v>363</v>
      </c>
      <c r="B18" s="4" t="s">
        <v>844</v>
      </c>
      <c r="C18" s="4" t="s">
        <v>845</v>
      </c>
    </row>
    <row r="19" customFormat="false" ht="15" hidden="false" customHeight="false" outlineLevel="0" collapsed="false">
      <c r="A19" s="4" t="s">
        <v>363</v>
      </c>
      <c r="B19" s="4" t="s">
        <v>846</v>
      </c>
      <c r="C19" s="4" t="s">
        <v>847</v>
      </c>
    </row>
    <row r="20" customFormat="false" ht="23.85" hidden="false" customHeight="false" outlineLevel="0" collapsed="false">
      <c r="A20" s="4" t="s">
        <v>759</v>
      </c>
      <c r="B20" s="4" t="s">
        <v>848</v>
      </c>
      <c r="C20" s="4" t="s">
        <v>849</v>
      </c>
    </row>
    <row r="21" customFormat="false" ht="15" hidden="false" customHeight="false" outlineLevel="0" collapsed="false">
      <c r="A21" s="4" t="s">
        <v>759</v>
      </c>
      <c r="B21" s="4" t="s">
        <v>623</v>
      </c>
      <c r="C21" s="4" t="s">
        <v>850</v>
      </c>
    </row>
    <row r="22" customFormat="false" ht="15" hidden="false" customHeight="false" outlineLevel="0" collapsed="false">
      <c r="A22" s="4" t="s">
        <v>759</v>
      </c>
      <c r="B22" s="4" t="s">
        <v>851</v>
      </c>
      <c r="C22" s="4" t="s">
        <v>852</v>
      </c>
    </row>
    <row r="23" customFormat="false" ht="15" hidden="false" customHeight="false" outlineLevel="0" collapsed="false">
      <c r="A23" s="4" t="s">
        <v>759</v>
      </c>
      <c r="B23" s="4" t="s">
        <v>853</v>
      </c>
      <c r="C23" s="4" t="s">
        <v>854</v>
      </c>
    </row>
  </sheetData>
  <autoFilter ref="A4:C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855</v>
      </c>
    </row>
    <row r="4" customFormat="false" ht="30" hidden="false" customHeight="true" outlineLevel="0" collapsed="false">
      <c r="A4" s="3" t="s">
        <v>856</v>
      </c>
      <c r="B4" s="3" t="s">
        <v>857</v>
      </c>
      <c r="C4" s="3" t="s">
        <v>464</v>
      </c>
      <c r="D4" s="3" t="s">
        <v>858</v>
      </c>
      <c r="E4" s="3" t="s">
        <v>859</v>
      </c>
    </row>
    <row r="5" customFormat="false" ht="23.85" hidden="false" customHeight="false" outlineLevel="0" collapsed="false">
      <c r="A5" s="4" t="n">
        <v>1</v>
      </c>
      <c r="B5" s="4" t="s">
        <v>860</v>
      </c>
      <c r="C5" s="4" t="s">
        <v>861</v>
      </c>
      <c r="D5" s="4" t="s">
        <v>862</v>
      </c>
      <c r="E5" s="22"/>
    </row>
    <row r="6" customFormat="false" ht="23.85" hidden="false" customHeight="false" outlineLevel="0" collapsed="false">
      <c r="A6" s="4" t="n">
        <v>2</v>
      </c>
      <c r="B6" s="4" t="s">
        <v>860</v>
      </c>
      <c r="C6" s="4" t="s">
        <v>863</v>
      </c>
      <c r="D6" s="4" t="s">
        <v>864</v>
      </c>
      <c r="E6" s="22"/>
    </row>
    <row r="7" customFormat="false" ht="15" hidden="false" customHeight="false" outlineLevel="0" collapsed="false">
      <c r="A7" s="4" t="n">
        <v>3</v>
      </c>
      <c r="B7" s="4" t="s">
        <v>865</v>
      </c>
      <c r="C7" s="4" t="s">
        <v>866</v>
      </c>
      <c r="D7" s="4" t="s">
        <v>867</v>
      </c>
      <c r="E7" s="22"/>
    </row>
    <row r="8" customFormat="false" ht="15" hidden="false" customHeight="false" outlineLevel="0" collapsed="false">
      <c r="A8" s="4" t="n">
        <v>4</v>
      </c>
      <c r="B8" s="4" t="s">
        <v>865</v>
      </c>
      <c r="C8" s="4" t="s">
        <v>868</v>
      </c>
      <c r="D8" s="4" t="s">
        <v>869</v>
      </c>
      <c r="E8" s="22"/>
    </row>
    <row r="9" customFormat="false" ht="15" hidden="false" customHeight="false" outlineLevel="0" collapsed="false">
      <c r="A9" s="4" t="n">
        <v>5</v>
      </c>
      <c r="B9" s="4" t="s">
        <v>870</v>
      </c>
      <c r="C9" s="4" t="s">
        <v>871</v>
      </c>
      <c r="D9" s="4" t="s">
        <v>872</v>
      </c>
      <c r="E9" s="22"/>
    </row>
    <row r="10" customFormat="false" ht="23.85" hidden="false" customHeight="false" outlineLevel="0" collapsed="false">
      <c r="A10" s="4" t="n">
        <v>6</v>
      </c>
      <c r="B10" s="4" t="s">
        <v>870</v>
      </c>
      <c r="C10" s="4" t="s">
        <v>873</v>
      </c>
      <c r="D10" s="4" t="s">
        <v>874</v>
      </c>
      <c r="E10" s="22"/>
    </row>
    <row r="11" customFormat="false" ht="23.85" hidden="false" customHeight="false" outlineLevel="0" collapsed="false">
      <c r="A11" s="4" t="n">
        <v>7</v>
      </c>
      <c r="B11" s="4" t="s">
        <v>870</v>
      </c>
      <c r="C11" s="4" t="s">
        <v>875</v>
      </c>
      <c r="D11" s="4" t="s">
        <v>876</v>
      </c>
      <c r="E11" s="22"/>
    </row>
    <row r="12" customFormat="false" ht="23.85" hidden="false" customHeight="false" outlineLevel="0" collapsed="false">
      <c r="A12" s="4" t="n">
        <v>8</v>
      </c>
      <c r="B12" s="4" t="s">
        <v>877</v>
      </c>
      <c r="C12" s="4" t="s">
        <v>878</v>
      </c>
      <c r="D12" s="4" t="s">
        <v>879</v>
      </c>
      <c r="E12" s="22"/>
    </row>
    <row r="13" customFormat="false" ht="15" hidden="false" customHeight="false" outlineLevel="0" collapsed="false">
      <c r="A13" s="4" t="n">
        <v>9</v>
      </c>
      <c r="B13" s="4" t="s">
        <v>877</v>
      </c>
      <c r="C13" s="4" t="s">
        <v>880</v>
      </c>
      <c r="D13" s="4" t="s">
        <v>881</v>
      </c>
      <c r="E13" s="22"/>
    </row>
    <row r="14" customFormat="false" ht="23.85" hidden="false" customHeight="false" outlineLevel="0" collapsed="false">
      <c r="A14" s="4" t="n">
        <v>10</v>
      </c>
      <c r="B14" s="4" t="s">
        <v>877</v>
      </c>
      <c r="C14" s="4" t="s">
        <v>882</v>
      </c>
      <c r="D14" s="4" t="s">
        <v>883</v>
      </c>
      <c r="E14" s="22"/>
    </row>
    <row r="15" customFormat="false" ht="15" hidden="false" customHeight="false" outlineLevel="0" collapsed="false">
      <c r="A15" s="4" t="n">
        <v>11</v>
      </c>
      <c r="B15" s="4" t="s">
        <v>884</v>
      </c>
      <c r="C15" s="4" t="s">
        <v>885</v>
      </c>
      <c r="D15" s="4" t="s">
        <v>886</v>
      </c>
      <c r="E15" s="22"/>
    </row>
  </sheetData>
  <autoFilter ref="A4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2026-10-28T20:28:01Z</dcterms:created>
  <dc:creator>openpyxl</dc:creator>
  <dc:description/>
  <dc:language>en-US</dc:language>
  <cp:lastModifiedBy/>
  <dcterms:modified xsi:type="dcterms:W3CDTF">2026-10-28T20:28:02Z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